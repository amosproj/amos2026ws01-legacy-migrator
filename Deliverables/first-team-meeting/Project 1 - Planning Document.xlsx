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f\Downloads\"/>
    </mc:Choice>
  </mc:AlternateContent>
  <xr:revisionPtr revIDLastSave="0" documentId="8_{5246C97D-F614-4D32-9E62-75691571E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Data" sheetId="1" r:id="rId1"/>
    <sheet name="Project Team" sheetId="2" r:id="rId2"/>
    <sheet name="Role Assignments" sheetId="3" r:id="rId3"/>
    <sheet name="Team Contract" sheetId="4" r:id="rId4"/>
    <sheet name="Product Goal" sheetId="5" r:id="rId5"/>
    <sheet name="Product Glossary" sheetId="6" r:id="rId6"/>
    <sheet name="Sprint Goals" sheetId="7" r:id="rId7"/>
    <sheet name="Velocity Tracking" sheetId="8" r:id="rId8"/>
    <sheet name="Mid-Project Release plan" sheetId="9" r:id="rId9"/>
    <sheet name="Final Project Release plan" sheetId="10" r:id="rId10"/>
    <sheet name="Definition of Done" sheetId="11" r:id="rId11"/>
    <sheet name="Documentation" sheetId="12" r:id="rId12"/>
    <sheet name="Bill of Materials" sheetId="13" r:id="rId13"/>
    <sheet name="Planning Poker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4" l="1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F2" i="14"/>
  <c r="E2" i="14"/>
  <c r="B2" i="14"/>
  <c r="A2" i="14"/>
  <c r="B1" i="14"/>
  <c r="A1" i="14"/>
  <c r="A22" i="10"/>
  <c r="A16" i="10"/>
  <c r="F11" i="10"/>
  <c r="D11" i="10"/>
  <c r="A11" i="10"/>
  <c r="A28" i="10" s="1"/>
  <c r="F10" i="10"/>
  <c r="D10" i="10"/>
  <c r="A10" i="10"/>
  <c r="F9" i="10"/>
  <c r="D9" i="10"/>
  <c r="D5" i="10" s="1"/>
  <c r="B28" i="9"/>
  <c r="B22" i="9"/>
  <c r="B16" i="9"/>
  <c r="A16" i="9"/>
  <c r="F11" i="9"/>
  <c r="D11" i="9"/>
  <c r="D5" i="9" s="1"/>
  <c r="F10" i="9"/>
  <c r="D10" i="9"/>
  <c r="A10" i="9"/>
  <c r="F9" i="9"/>
  <c r="D9" i="9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B13" i="3"/>
  <c r="B14" i="3" s="1"/>
  <c r="B15" i="3" s="1"/>
  <c r="B16" i="3" s="1"/>
  <c r="B17" i="3" s="1"/>
  <c r="B4" i="3"/>
  <c r="B5" i="3" s="1"/>
  <c r="B6" i="3" s="1"/>
  <c r="B7" i="3" s="1"/>
  <c r="B8" i="3" s="1"/>
  <c r="B9" i="3" s="1"/>
  <c r="B10" i="3" s="1"/>
  <c r="B11" i="3" s="1"/>
  <c r="E5" i="10" l="1"/>
  <c r="E9" i="10"/>
  <c r="E10" i="10" s="1"/>
  <c r="E11" i="10" s="1"/>
  <c r="E12" i="10" s="1"/>
  <c r="G9" i="10"/>
  <c r="G10" i="10" s="1"/>
  <c r="G11" i="10" s="1"/>
  <c r="G12" i="10" s="1"/>
  <c r="E5" i="9"/>
  <c r="E9" i="9"/>
  <c r="E10" i="9" s="1"/>
  <c r="E11" i="9" s="1"/>
  <c r="E12" i="9" s="1"/>
  <c r="G9" i="9"/>
  <c r="G10" i="9" s="1"/>
  <c r="G11" i="9" s="1"/>
  <c r="G12" i="9" s="1"/>
  <c r="A22" i="9"/>
  <c r="A11" i="9"/>
  <c r="A28" i="9" s="1"/>
</calcChain>
</file>

<file path=xl/sharedStrings.xml><?xml version="1.0" encoding="utf-8"?>
<sst xmlns="http://schemas.openxmlformats.org/spreadsheetml/2006/main" count="300" uniqueCount="190">
  <si>
    <t>Last Name</t>
  </si>
  <si>
    <t>Product Owner</t>
  </si>
  <si>
    <t>First Name</t>
  </si>
  <si>
    <t>GitHub User Name</t>
  </si>
  <si>
    <t>Email Address</t>
  </si>
  <si>
    <t>Fritz</t>
  </si>
  <si>
    <t>Josefina</t>
  </si>
  <si>
    <t>https://github.com/Josefinafr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</si>
  <si>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</si>
  <si>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</si>
  <si>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</si>
  <si>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</si>
  <si>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</si>
  <si>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</si>
  <si>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</si>
  <si>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</si>
  <si>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Project Name</t>
  </si>
  <si>
    <t>Goals</t>
  </si>
  <si>
    <t>AI-Assisted Legacy Migration Knowledge Base</t>
  </si>
  <si>
    <t>Fernando</t>
  </si>
  <si>
    <t>Everyone else</t>
  </si>
  <si>
    <t>N/A</t>
  </si>
  <si>
    <t>Fiona</t>
  </si>
  <si>
    <t>Online team meeting</t>
  </si>
  <si>
    <t>https://fau.zoom-x.de/j/68356420940?pwd=yD6DYSba2jI1DTVMOvI3JmRchu9TuY.1</t>
  </si>
  <si>
    <t>josefina.fritz@fau.de</t>
  </si>
  <si>
    <t>Barriga Vasquez</t>
  </si>
  <si>
    <t>https://github.com/fbarquez</t>
  </si>
  <si>
    <t>-        Develop a useable and useful Prototype
-        Prototype should be compatible with MIT Software Licenses
-        Meet Requirements (that we don’t know yet) from our industry partner
-        A good Teamwork
-        A Demo Version of the Prototype on Demo-day
-        Keep the Project realistic
-        Prototype should be easily demonstratable on Demo-day - Preferably locally testable (Ollama)</t>
  </si>
  <si>
    <t>Meeting norms</t>
  </si>
  <si>
    <t>f.barriga.vasquez@campus.tu-berlin.de</t>
  </si>
  <si>
    <t>Sternberg</t>
  </si>
  <si>
    <t xml:space="preserve">-	Meetings will be held in English
-	Be on time and come prepared &gt; Punishments 
-	Camera should be turned on (If it goes)
-	Let everyone speak and respect opinions and boundaries
-	If you are sick write a quick chat on WhatsApp and write the Professor
</t>
  </si>
  <si>
    <t>https://github.com/Faoilthiama</t>
  </si>
  <si>
    <t>Working norms</t>
  </si>
  <si>
    <t xml:space="preserve">-	Ask for help if needed / Be helpful to others
-	Are you sick or unable to end your sprint work please let the POs know
-	AI Assistant Coding: Developer self should Review it first and the make a pull request
-	if AI used for git commit messages: PROPERLY Double check and remove "co-authored by Claude / etc."
- Suggestion from Dirk Riehle: Required Review (If you create a merge request, you must review at least one another merge request)
-	When AI Agents are used: Create a system prompt file (for example .Vscode/copilot-instructions.md for GitHub-Copilot ) and write down our coding norms there so that the AI adheres to them
-	Main Branch just touchable by the Release Manager that week – by Pull Request from Dev Branch
-	Dev branches with split branches (Title of backlog) – Pull request needs to be review
-	Breaking Change/Bugs handled by Release Manager and the one who caused it
-	Dirk Riehle said that collaborative coding must be annotated with a "Co-authored-by: Firstname Lastname &lt;uni-email@uni.de&gt;" at the end of a git commit message, one line per coworker. "Assigned to ..." flags on GitHub Projects work items will probably not be graded
-	Ensure local, easy reproducability and testability during development, right from the start. This is done by writing setup and start scripts, where it is necessary (instead of executing a module with long config files and 2329 env variables)
-	Ensure local, easy reproducability and testability during development, right from the start. This is done by writing setup and start scripts, where it is necessary (instead of executing a module with long config files and 2329 env variables)
</t>
  </si>
  <si>
    <t>Coordination norms</t>
  </si>
  <si>
    <t>-        Planning Board Coordination
-        If you disagree about smth - discuss it with each other first via Discord/WA and maybe bring it with you to the team meeting session
-        Never move feature to "Feature Archive" (Finished) column without a review in "Awaiting Review" column first
-        When you assign someone else to a feature, notify them explicitly WhatsApp</t>
  </si>
  <si>
    <t>Communication norms</t>
  </si>
  <si>
    <t xml:space="preserve">-        We set up a Discord Server
-        WhatsApp as main Communication Form
-        Happy Go Lucky: for twice a week Standup Email SDs (weekly for POs, SM)
-        Email with Wolfgang run by Fernando and Josefina
-        Feel free to text privately on WhatsApp if stuff comes up
</t>
  </si>
  <si>
    <t>fiona.sternberg@fau.de</t>
  </si>
  <si>
    <t>Afzal Yousuf</t>
  </si>
  <si>
    <t>Consideration norms</t>
  </si>
  <si>
    <t xml:space="preserve">Ali </t>
  </si>
  <si>
    <t>https://github.com/3liAf</t>
  </si>
  <si>
    <t xml:space="preserve">-	Be patient – language differences, not same level of programming exp
-	respect each other’s time
-	Be nice and kind to each other
-	Be open to constructive feedback and focus on solving problems rather than blaming each other
</t>
  </si>
  <si>
    <t>Production system (if any)</t>
  </si>
  <si>
    <t>Cont. improvement norms</t>
  </si>
  <si>
    <t>...</t>
  </si>
  <si>
    <t>Test system (if any)</t>
  </si>
  <si>
    <t xml:space="preserve">-       No automating push into main and dev branch
-       Feature branch are named after tickets 
-       After issue is resolved the feature branch for the ticket won’t be deleted
-       Merge requests shall not be reviewed automatically
-       Everybody gets informed about resolved pull requests -Maybe leave a message on WA
-       If there is any issue that has to be resolved immediately find a time to talk together on Discord
-       Build process create a useful artefact - Artefacts are stored on Github
</t>
  </si>
  <si>
    <t>GitHub repository</t>
  </si>
  <si>
    <t>Rewards</t>
  </si>
  <si>
    <t>https://github.com/amosproj/amos2026ws01-legacy-migrator</t>
  </si>
  <si>
    <t>ali.yousuf@fau.de</t>
  </si>
  <si>
    <t>Pohlitz</t>
  </si>
  <si>
    <t>Paul</t>
  </si>
  <si>
    <t>https://github.com/ppohlitze</t>
  </si>
  <si>
    <t xml:space="preserve">-	Get a T-shirt
-	Get a good grade
-	Online Celebration
-	Small Celebration for every release
-	A good Linkdin Profil : “What AMOS project taught me about B2B SAAS this week”
</t>
  </si>
  <si>
    <t>Sanctions</t>
  </si>
  <si>
    <t>GitHub feature board</t>
  </si>
  <si>
    <t>https://github.com/orgs/amosproj/projects/109</t>
  </si>
  <si>
    <t>p.pohlitz@campus.tu-berlin.de</t>
  </si>
  <si>
    <t>Rubins</t>
  </si>
  <si>
    <t>Adrians</t>
  </si>
  <si>
    <t>https://github.com/AdriansRubins</t>
  </si>
  <si>
    <r>
      <rPr>
        <sz val="10"/>
        <rFont val="arial, sans, sans-serif"/>
      </rPr>
      <t xml:space="preserve">-	If you’re late to a team meeting, you have to dance when you join.
-	If you have to complete a penalty, you can choose to dance or sing.
-	</t>
    </r>
    <r>
      <rPr>
        <u/>
        <sz val="10"/>
        <color rgb="FF1155CC"/>
        <rFont val="arial, sans, sans-serif"/>
      </rPr>
      <t>https://allkaraoke.party/game/?playlist=English&amp;song=radiohead-creep</t>
    </r>
  </si>
  <si>
    <t>GitHub imp-squared backlog</t>
  </si>
  <si>
    <t>il4707fu@zedat.fu-berlin.de</t>
  </si>
  <si>
    <t>https://github.com/orgs/amosproj/projects/113/views/1</t>
  </si>
  <si>
    <t>Kiesel</t>
  </si>
  <si>
    <t>https://github.com/nudelisidle</t>
  </si>
  <si>
    <t>Paul K.</t>
  </si>
  <si>
    <t>Paul P.</t>
  </si>
  <si>
    <t>Position of T-shirt logo</t>
  </si>
  <si>
    <t>paul.kiesel@fau.de</t>
  </si>
  <si>
    <t>Ahm</t>
  </si>
  <si>
    <t>Raihan</t>
  </si>
  <si>
    <t>https://github.com/RaihanFAU</t>
  </si>
  <si>
    <t>Rafael</t>
  </si>
  <si>
    <t>Mid-term due</t>
  </si>
  <si>
    <t>ahm.raihan@fau.de</t>
  </si>
  <si>
    <t>Marques</t>
  </si>
  <si>
    <t>Link to logo for black T-shirt</t>
  </si>
  <si>
    <t>https://github.com/RafaelMcMarques</t>
  </si>
  <si>
    <t>Link to logo for white T-shirt</t>
  </si>
  <si>
    <t>Signatures</t>
  </si>
  <si>
    <t>Additional materials</t>
  </si>
  <si>
    <t>Team maling list</t>
  </si>
  <si>
    <t>oss-amos-proj1@lists.fau.de</t>
  </si>
  <si>
    <t>Product owner</t>
  </si>
  <si>
    <t xml:space="preserve">Fernando </t>
  </si>
  <si>
    <t>Software developer</t>
  </si>
  <si>
    <t>Ali</t>
  </si>
  <si>
    <t>rafael.mc.marques@fau.de</t>
  </si>
  <si>
    <t xml:space="preserve">Adrian 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</si>
  <si>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</si>
  <si>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</si>
  <si>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</si>
  <si>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Sprint #</t>
  </si>
  <si>
    <t>Sprint goal</t>
  </si>
  <si>
    <t>Term</t>
  </si>
  <si>
    <t>United Understanding</t>
  </si>
  <si>
    <t>Product Vision</t>
  </si>
  <si>
    <t>Definition</t>
  </si>
  <si>
    <t>Legacy System</t>
  </si>
  <si>
    <t>The existing software system whose functionality is gradually migrated to a new system. Some components remain active during the transition.</t>
  </si>
  <si>
    <t>Project Mission</t>
  </si>
  <si>
    <t>Target System</t>
  </si>
  <si>
    <t>The new system that gradually replaces legacy functionality. Its actual code is analysed to distinguish implemented functionality from planned work.</t>
  </si>
  <si>
    <t>Knowledge Base</t>
  </si>
  <si>
    <t>A persistent, versioned collection of connected information about legacy code, target code, domain knowledge and migration dependencies.</t>
  </si>
  <si>
    <t>Enable software teams to migrate legacy systems with confidence by providing a persistent, connected knowledge base of legacy code, target code, domain knowledge and system dependencies. Through natural-language queries and up-to-date architecture views, teams can understand migration progress, preserve essential knowledge and make informed decisions about what to migrate or decommission next.</t>
  </si>
  <si>
    <t>Knowledge Graph</t>
  </si>
  <si>
    <t>A representation of information as nodes and relationships, connecting elements such as code components, bounded contexts and dependencies.</t>
  </si>
  <si>
    <t>Abstract Syntax Tree (AST)</t>
  </si>
  <si>
    <t>A structured representation of source code used to analyse elements such as classes, methods and fields.</t>
  </si>
  <si>
    <t>None</t>
  </si>
  <si>
    <t>Develop and validate a prototype during the AMOS semester using a shareable reference project with a realistic migration history. Evaluate existing analysis tools, connect relevant information in a knowledge graph and demonstrate reliable natural-language answers about at least one migration step. Agree on measurable success criteria with the industry partner and define the scope of generated architecture views.</t>
  </si>
  <si>
    <t>Domain Model</t>
  </si>
  <si>
    <t>Optional</t>
  </si>
  <si>
    <t>A structured description of the business domain, including bounded contexts, business terminology, rules and events.</t>
  </si>
  <si>
    <t>Write your sprint goal here</t>
  </si>
  <si>
    <t>Bounded Context</t>
  </si>
  <si>
    <t>A defined business boundary within which a particular domain model and its terminology apply. It can be linked to its implementations in both systems.</t>
  </si>
  <si>
    <t>Ubiquitous Language</t>
  </si>
  <si>
    <t>Story Points Realized</t>
  </si>
  <si>
    <t>The shared business vocabulary used by domain experts and developers within a bounded context.</t>
  </si>
  <si>
    <t>Coupling</t>
  </si>
  <si>
    <t>A dependency between components or systems, such as direct calls, shared database tables or messaging routes. Remaining coupling can affect decommissioning decisions.</t>
  </si>
  <si>
    <t>Decommissioning</t>
  </si>
  <si>
    <t>Taking a legacy component out of operation after its functionality and remaining dependencies have been addressed.</t>
  </si>
  <si>
    <t>Strangler Fig Migration</t>
  </si>
  <si>
    <t>An incremental migration approach in which a new system gradually replaces the legacy system through parallel operation, completion and decommissioning.</t>
  </si>
  <si>
    <t>Deterministic Ingestion</t>
  </si>
  <si>
    <t>The stage that extracts and stores structural facts, such as code relationships and deployment information, without using an LLM.</t>
  </si>
  <si>
    <t>LLM-Based Comprehension</t>
  </si>
  <si>
    <t>The stage in which a large language model generates summaries and explanations from ingested information and stores them in the knowledge base.</t>
  </si>
  <si>
    <t>Retrieval-Augmented Generation (RAG)</t>
  </si>
  <si>
    <t>An approach that retrieves relevant knowledge-base information to support an LLM’s answer to a user’s question.</t>
  </si>
  <si>
    <t>arc42</t>
  </si>
  <si>
    <t>An architecture documentation framework. The project specifically targets its context, building block and deployment views.</t>
  </si>
  <si>
    <t>Context View</t>
  </si>
  <si>
    <t>An architecture view showing the system boundary, external actors, neighbouring systems and their interfaces.</t>
  </si>
  <si>
    <t>Building Block View</t>
  </si>
  <si>
    <t>An architecture view showing the static structure of components, services or modules. In this project, it shows legacy and target elements together with their status.</t>
  </si>
  <si>
    <t>Deployment View</t>
  </si>
  <si>
    <t>An architecture view showing where components run and how they connect through infrastructure such as databases and messaging systems.</t>
  </si>
  <si>
    <t>Synthetic Reference System</t>
  </si>
  <si>
    <t>A shareable example system with realistic migration scenarios, used to develop and validate the prototype without confidential client code or data.</t>
  </si>
  <si>
    <t>Migration Step</t>
  </si>
  <si>
    <t>A defined stage in the reference system’s migration history. Comparing consecutive steps reveals changes to code, deployments and dependencies.</t>
  </si>
  <si>
    <t>Minimum Viable Product (MVP)</t>
  </si>
  <si>
    <t>The initial prototype scope agreed with the industry partner. The kickoff discussion identifies answering natural-language questions about at least one migration step as the minimum goal.</t>
  </si>
  <si>
    <t>Sprint</t>
  </si>
  <si>
    <t>Goal</t>
  </si>
  <si>
    <t>Feature Name</t>
  </si>
  <si>
    <t>Est. size</t>
  </si>
  <si>
    <t>PLEASE CREATE THE VELOCITY CHART ON A NEW TAB USING THE DATA FROM THIS TAB</t>
  </si>
  <si>
    <t>Est. remaining</t>
  </si>
  <si>
    <t>Real size</t>
  </si>
  <si>
    <t>Real remaining</t>
  </si>
  <si>
    <t>Release</t>
  </si>
  <si>
    <t>Total</t>
  </si>
  <si>
    <t>Feature Definition of Done</t>
  </si>
  <si>
    <t>Sprint Release Definition of Done</t>
  </si>
  <si>
    <t>Project Release Definition of Done</t>
  </si>
  <si>
    <t>Type</t>
  </si>
  <si>
    <t>Link / reference</t>
  </si>
  <si>
    <t>Sprints</t>
  </si>
  <si>
    <t>Estimated burn-down</t>
  </si>
  <si>
    <t>Real burn-down</t>
  </si>
  <si>
    <t>Context</t>
  </si>
  <si>
    <t>Name</t>
  </si>
  <si>
    <t>Version</t>
  </si>
  <si>
    <t>License</t>
  </si>
  <si>
    <t>Value</t>
  </si>
  <si>
    <t>Features</t>
  </si>
  <si>
    <t>PLEASE CREATE THE BURNDOWN CHART ON A NEW TAB USING THE DATA FROM THIS TAB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</si>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</sst>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yyyy&quot;-&quot;mm&quot;-&quot;dd"/>
  </numFmts>
  <fonts count="14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b/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'Courier New'"/>
    </font>
    <font>
      <sz val="10"/>
      <color rgb="FFFFFFFF"/>
      <name val="Arial"/>
    </font>
    <font>
      <b/>
      <sz val="24"/>
      <name val="Arial"/>
    </font>
    <font>
      <sz val="10"/>
      <name val="arial, sans, sans-serif"/>
    </font>
    <font>
      <u/>
      <sz val="10"/>
      <color rgb="FF1155CC"/>
      <name val="arial, sans, sans-serif"/>
    </font>
  </fonts>
  <fills count="9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  <xf numFmtId="0" fontId="3" fillId="3" borderId="0" xfId="0" applyFont="1" applyFill="1" applyAlignment="1">
      <alignment wrapText="1"/>
    </xf>
    <xf numFmtId="0" fontId="4" fillId="0" borderId="0" xfId="0" applyFont="1"/>
    <xf numFmtId="0" fontId="5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8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165" fontId="2" fillId="0" borderId="0" xfId="0" applyNumberFormat="1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5" fillId="3" borderId="0" xfId="0" applyFont="1" applyFill="1" applyAlignment="1">
      <alignment horizontal="left" wrapText="1"/>
    </xf>
    <xf numFmtId="0" fontId="5" fillId="3" borderId="0" xfId="0" applyFont="1" applyFill="1"/>
    <xf numFmtId="0" fontId="3" fillId="6" borderId="0" xfId="0" applyFont="1" applyFill="1" applyAlignment="1">
      <alignment horizontal="left"/>
    </xf>
    <xf numFmtId="0" fontId="5" fillId="6" borderId="0" xfId="0" applyFont="1" applyFill="1"/>
    <xf numFmtId="0" fontId="5" fillId="6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4" borderId="0" xfId="0" applyFont="1" applyFill="1"/>
    <xf numFmtId="0" fontId="5" fillId="4" borderId="0" xfId="0" applyFont="1" applyFill="1" applyAlignment="1">
      <alignment horizontal="right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5" fillId="7" borderId="0" xfId="0" applyFont="1" applyFill="1" applyAlignment="1">
      <alignment wrapText="1"/>
    </xf>
    <xf numFmtId="0" fontId="10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wrapText="1"/>
    </xf>
    <xf numFmtId="0" fontId="5" fillId="3" borderId="0" xfId="0" applyFont="1" applyFill="1" applyAlignment="1">
      <alignment horizontal="right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vertical="center" wrapText="1"/>
    </xf>
    <xf numFmtId="4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8" borderId="0" xfId="0" applyFont="1" applyFill="1" applyAlignment="1">
      <alignment horizontal="left"/>
    </xf>
    <xf numFmtId="0" fontId="3" fillId="8" borderId="0" xfId="0" applyFont="1" applyFill="1"/>
    <xf numFmtId="0" fontId="3" fillId="3" borderId="0" xfId="0" applyFont="1" applyFill="1" applyAlignment="1">
      <alignment vertical="center" wrapText="1"/>
    </xf>
    <xf numFmtId="0" fontId="5" fillId="8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4" fontId="5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left"/>
    </xf>
    <xf numFmtId="0" fontId="5" fillId="4" borderId="0" xfId="0" applyFont="1" applyFill="1"/>
    <xf numFmtId="0" fontId="3" fillId="3" borderId="0" xfId="0" applyFont="1" applyFill="1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4" fontId="5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5" borderId="0" xfId="0" applyFont="1" applyFill="1"/>
    <xf numFmtId="0" fontId="5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1" fillId="3" borderId="0" xfId="0" applyFont="1" applyFill="1"/>
    <xf numFmtId="0" fontId="2" fillId="4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5" fillId="4" borderId="0" xfId="0" applyFont="1" applyFill="1" applyAlignment="1">
      <alignment vertical="top" wrapText="1"/>
    </xf>
    <xf numFmtId="4" fontId="11" fillId="8" borderId="0" xfId="0" applyNumberFormat="1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wrapText="1" indent="1"/>
    </xf>
  </cellXfs>
  <cellStyles count="1">
    <cellStyle name="Standard" xfId="0" builtinId="0"/>
  </cellStyles>
  <dxfs count="3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2">
    <tableStyle name="Project Team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Project Data-style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Team Contract-style" pivot="0" count="3" xr9:uid="{00000000-0011-0000-FFFF-FFFF02000000}">
      <tableStyleElement type="headerRow" dxfId="29"/>
      <tableStyleElement type="firstRowStripe" dxfId="28"/>
      <tableStyleElement type="secondRowStripe" dxfId="27"/>
    </tableStyle>
    <tableStyle name="Role Assignments-style" pivot="0" count="3" xr9:uid="{00000000-0011-0000-FFFF-FFFF03000000}">
      <tableStyleElement type="headerRow" dxfId="26"/>
      <tableStyleElement type="firstRowStripe" dxfId="25"/>
      <tableStyleElement type="secondRowStripe" dxfId="24"/>
    </tableStyle>
    <tableStyle name="Sprint Goals-style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Product Glossary-style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Velocity Tracking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Mid-Project Release plan-style" pivot="0" count="3" xr9:uid="{00000000-0011-0000-FFFF-FFFF07000000}">
      <tableStyleElement type="headerRow" dxfId="14"/>
      <tableStyleElement type="firstRowStripe" dxfId="13"/>
      <tableStyleElement type="secondRowStripe" dxfId="12"/>
    </tableStyle>
    <tableStyle name="Final Project Release plan-style" pivot="0" count="3" xr9:uid="{00000000-0011-0000-FFFF-FFFF08000000}">
      <tableStyleElement type="headerRow" dxfId="11"/>
      <tableStyleElement type="firstRowStripe" dxfId="10"/>
      <tableStyleElement type="secondRowStripe" dxfId="9"/>
    </tableStyle>
    <tableStyle name="Definition of Done-style" pivot="0" count="3" xr9:uid="{00000000-0011-0000-FFFF-FFFF09000000}">
      <tableStyleElement type="headerRow" dxfId="8"/>
      <tableStyleElement type="firstRowStripe" dxfId="7"/>
      <tableStyleElement type="secondRowStripe" dxfId="6"/>
    </tableStyle>
    <tableStyle name="Documentation-style" pivot="0" count="3" xr9:uid="{00000000-0011-0000-FFFF-FFFF0A000000}">
      <tableStyleElement type="headerRow" dxfId="5"/>
      <tableStyleElement type="firstRowStripe" dxfId="4"/>
      <tableStyleElement type="secondRowStripe" dxfId="3"/>
    </tableStyle>
    <tableStyle name="Bill of Materials-style" pivot="0" count="3" xr9:uid="{00000000-0011-0000-FFFF-FFFF0B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B20">
  <tableColumns count="2">
    <tableColumn id="1" xr3:uid="{00000000-0010-0000-0000-000001000000}" name="Project Name"/>
    <tableColumn id="2" xr3:uid="{00000000-0010-0000-0000-000002000000}" name="AI-Assisted Legacy Migration Knowledge Base"/>
  </tableColumns>
  <tableStyleInfo name="Project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3" displayName="Table_3" ref="A1:D20">
  <tableColumns count="4">
    <tableColumn id="1" xr3:uid="{00000000-0010-0000-0100-000001000000}" name="Last Name"/>
    <tableColumn id="2" xr3:uid="{00000000-0010-0000-0100-000002000000}" name="First Name"/>
    <tableColumn id="3" xr3:uid="{00000000-0010-0000-0100-000003000000}" name="GitHub User Name"/>
    <tableColumn id="4" xr3:uid="{00000000-0010-0000-0100-000004000000}" name="Email Address"/>
  </tableColumns>
  <tableStyleInfo name="Project Team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H21">
  <tableColumns count="8">
    <tableColumn id="1" xr3:uid="{00000000-0010-0000-0200-000001000000}" name="#"/>
    <tableColumn id="2" xr3:uid="{00000000-0010-0000-0200-000002000000}" name="Meeting Day"/>
    <tableColumn id="3" xr3:uid="{00000000-0010-0000-0200-000003000000}" name="Review"/>
    <tableColumn id="4" xr3:uid="{00000000-0010-0000-0200-000004000000}" name="Planning"/>
    <tableColumn id="5" xr3:uid="{00000000-0010-0000-0200-000005000000}" name="Software Developer"/>
    <tableColumn id="6" xr3:uid="{00000000-0010-0000-0200-000006000000}" name="Release Manager"/>
    <tableColumn id="7" xr3:uid="{00000000-0010-0000-0200-000007000000}" name="Scrum Master"/>
    <tableColumn id="8" xr3:uid="{00000000-0010-0000-0200-000008000000}" name="Comment"/>
  </tableColumns>
  <tableStyleInfo name="Role Assignmen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30" headerRowCount="0">
  <tableColumns count="2">
    <tableColumn id="1" xr3:uid="{00000000-0010-0000-0300-000001000000}" name="Column1"/>
    <tableColumn id="2" xr3:uid="{00000000-0010-0000-0300-000002000000}" name="Column2"/>
  </tableColumns>
  <tableStyleInfo name="Team Contrac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_6" displayName="Table_6" ref="A1:B22">
  <tableColumns count="2">
    <tableColumn id="1" xr3:uid="{00000000-0010-0000-0400-000001000000}" name="Term"/>
    <tableColumn id="2" xr3:uid="{00000000-0010-0000-0400-000002000000}" name="Definition"/>
  </tableColumns>
  <tableStyleInfo name="Product Glossar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_5" displayName="Table_5" ref="A1:B20">
  <tableColumns count="2">
    <tableColumn id="1" xr3:uid="{00000000-0010-0000-0500-000001000000}" name="Sprint #"/>
    <tableColumn id="2" xr3:uid="{00000000-0010-0000-0500-000002000000}" name="Sprint goal"/>
  </tableColumns>
  <tableStyleInfo name="Sprint Goal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20">
  <tableColumns count="2">
    <tableColumn id="1" xr3:uid="{00000000-0010-0000-0600-000001000000}" name="Sprint #"/>
    <tableColumn id="2" xr3:uid="{00000000-0010-0000-0600-000002000000}" name="Story Points Realized"/>
  </tableColumns>
  <tableStyleInfo name="Velocity Tracking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G34">
  <tableColumns count="7">
    <tableColumn id="1" xr3:uid="{00000000-0010-0000-0700-000001000000}" name="Sprint"/>
    <tableColumn id="2" xr3:uid="{00000000-0010-0000-0700-000002000000}" name="Goal"/>
    <tableColumn id="3" xr3:uid="{00000000-0010-0000-0700-000003000000}" name="Feature Name"/>
    <tableColumn id="4" xr3:uid="{00000000-0010-0000-0700-000004000000}" name="Est. size"/>
    <tableColumn id="5" xr3:uid="{00000000-0010-0000-0700-000005000000}" name="Est. remaining"/>
    <tableColumn id="6" xr3:uid="{00000000-0010-0000-0700-000006000000}" name="Real size"/>
    <tableColumn id="7" xr3:uid="{00000000-0010-0000-0700-000007000000}" name="Real remaining"/>
  </tableColumns>
  <tableStyleInfo name="Mid-Project Release plan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G34">
  <tableColumns count="7">
    <tableColumn id="1" xr3:uid="{00000000-0010-0000-0800-000001000000}" name="Sprint"/>
    <tableColumn id="2" xr3:uid="{00000000-0010-0000-0800-000002000000}" name="Goal"/>
    <tableColumn id="3" xr3:uid="{00000000-0010-0000-0800-000003000000}" name="Feature Name"/>
    <tableColumn id="4" xr3:uid="{00000000-0010-0000-0800-000004000000}" name="Est. size"/>
    <tableColumn id="5" xr3:uid="{00000000-0010-0000-0800-000005000000}" name="Est. remaining"/>
    <tableColumn id="6" xr3:uid="{00000000-0010-0000-0800-000006000000}" name="Real size"/>
    <tableColumn id="7" xr3:uid="{00000000-0010-0000-0800-000007000000}" name="Real remaining"/>
  </tableColumns>
  <tableStyleInfo name="Final Project Release pla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D20">
  <tableColumns count="4">
    <tableColumn id="1" xr3:uid="{00000000-0010-0000-0900-000001000000}" name="#"/>
    <tableColumn id="2" xr3:uid="{00000000-0010-0000-0900-000002000000}" name="Feature Definition of Done"/>
    <tableColumn id="3" xr3:uid="{00000000-0010-0000-0900-000003000000}" name="Sprint Release Definition of Done"/>
    <tableColumn id="4" xr3:uid="{00000000-0010-0000-0900-000004000000}" name="Project Release Definition of Done"/>
  </tableColumns>
  <tableStyleInfo name="Definition of Done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B20">
  <tableColumns count="2">
    <tableColumn id="1" xr3:uid="{00000000-0010-0000-0A00-000001000000}" name="Type"/>
    <tableColumn id="2" xr3:uid="{00000000-0010-0000-0A00-000002000000}" name="Link / reference"/>
  </tableColumns>
  <tableStyleInfo name="Documentation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F20">
  <tableColumns count="6">
    <tableColumn id="1" xr3:uid="{00000000-0010-0000-0B00-000001000000}" name="#"/>
    <tableColumn id="2" xr3:uid="{00000000-0010-0000-0B00-000002000000}" name="Context"/>
    <tableColumn id="3" xr3:uid="{00000000-0010-0000-0B00-000003000000}" name="Name"/>
    <tableColumn id="4" xr3:uid="{00000000-0010-0000-0B00-000004000000}" name="Version"/>
    <tableColumn id="5" xr3:uid="{00000000-0010-0000-0B00-000005000000}" name="License"/>
    <tableColumn id="6" xr3:uid="{00000000-0010-0000-0B00-000006000000}" name="Comment"/>
  </tableColumns>
  <tableStyleInfo name="Bill of Materials-style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orgs/amosproj/projects/109" TargetMode="External"/><Relationship Id="rId2" Type="http://schemas.openxmlformats.org/officeDocument/2006/relationships/hyperlink" Target="https://github.com/amosproj/amos2026ws01-legacy-migrator" TargetMode="External"/><Relationship Id="rId1" Type="http://schemas.openxmlformats.org/officeDocument/2006/relationships/hyperlink" Target="https://fau.zoom-x.de/j/68356420940?pwd=yD6DYSba2jI1DTVMOvI3JmRchu9TuY.1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github.com/orgs/amosproj/projects/113/views/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aihanFAU" TargetMode="External"/><Relationship Id="rId3" Type="http://schemas.openxmlformats.org/officeDocument/2006/relationships/hyperlink" Target="https://github.com/Faoilthiama" TargetMode="External"/><Relationship Id="rId7" Type="http://schemas.openxmlformats.org/officeDocument/2006/relationships/hyperlink" Target="https://github.com/nudelisidle" TargetMode="External"/><Relationship Id="rId2" Type="http://schemas.openxmlformats.org/officeDocument/2006/relationships/hyperlink" Target="https://github.com/fbarquez" TargetMode="External"/><Relationship Id="rId1" Type="http://schemas.openxmlformats.org/officeDocument/2006/relationships/hyperlink" Target="https://github.com/Josefinafr" TargetMode="External"/><Relationship Id="rId6" Type="http://schemas.openxmlformats.org/officeDocument/2006/relationships/hyperlink" Target="https://github.com/AdriansRubins" TargetMode="External"/><Relationship Id="rId5" Type="http://schemas.openxmlformats.org/officeDocument/2006/relationships/hyperlink" Target="https://github.com/ppohlitze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github.com/3liAf" TargetMode="External"/><Relationship Id="rId9" Type="http://schemas.openxmlformats.org/officeDocument/2006/relationships/hyperlink" Target="https://github.com/RafaelMcMarqu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allkaraoke.party/game/?playlist=English&amp;song=radiohead-cree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2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1" width="25.140625" customWidth="1"/>
    <col min="2" max="2" width="100.140625" customWidth="1"/>
  </cols>
  <sheetData>
    <row r="1" spans="1:2" ht="12.75" customHeight="1">
      <c r="A1" s="5" t="s">
        <v>16</v>
      </c>
      <c r="B1" s="5" t="s">
        <v>18</v>
      </c>
    </row>
    <row r="2" spans="1:2" ht="12.75" customHeight="1">
      <c r="A2" s="5"/>
      <c r="B2" s="8"/>
    </row>
    <row r="3" spans="1:2" ht="12.75" customHeight="1">
      <c r="A3" s="5" t="s">
        <v>23</v>
      </c>
      <c r="B3" s="14" t="s">
        <v>24</v>
      </c>
    </row>
    <row r="4" spans="1:2" ht="12.75" customHeight="1">
      <c r="A4" s="5"/>
      <c r="B4" s="8"/>
    </row>
    <row r="5" spans="1:2" ht="12.75" customHeight="1">
      <c r="A5" s="5" t="s">
        <v>46</v>
      </c>
      <c r="B5" s="8" t="s">
        <v>48</v>
      </c>
    </row>
    <row r="6" spans="1:2" ht="12.75" customHeight="1">
      <c r="A6" s="5" t="s">
        <v>49</v>
      </c>
      <c r="B6" s="8" t="s">
        <v>48</v>
      </c>
    </row>
    <row r="7" spans="1:2" ht="12.75" customHeight="1">
      <c r="A7" s="5"/>
      <c r="B7" s="8"/>
    </row>
    <row r="8" spans="1:2" ht="12.75" customHeight="1">
      <c r="A8" s="5" t="s">
        <v>51</v>
      </c>
      <c r="B8" s="14" t="s">
        <v>53</v>
      </c>
    </row>
    <row r="9" spans="1:2" ht="12.75" customHeight="1">
      <c r="A9" s="5" t="s">
        <v>60</v>
      </c>
      <c r="B9" s="15" t="s">
        <v>61</v>
      </c>
    </row>
    <row r="10" spans="1:2" ht="12.75" customHeight="1">
      <c r="A10" s="5" t="s">
        <v>67</v>
      </c>
      <c r="B10" s="15" t="s">
        <v>69</v>
      </c>
    </row>
    <row r="11" spans="1:2" ht="12.75" customHeight="1">
      <c r="A11" s="5"/>
      <c r="B11" s="8"/>
    </row>
    <row r="12" spans="1:2" ht="12.75" customHeight="1">
      <c r="A12" s="5" t="s">
        <v>74</v>
      </c>
      <c r="B12" s="8"/>
    </row>
    <row r="13" spans="1:2" ht="12.75" customHeight="1">
      <c r="A13" s="5" t="s">
        <v>83</v>
      </c>
      <c r="B13" s="8" t="s">
        <v>48</v>
      </c>
    </row>
    <row r="14" spans="1:2" ht="12.75" customHeight="1">
      <c r="A14" s="5" t="s">
        <v>85</v>
      </c>
      <c r="B14" s="8" t="s">
        <v>48</v>
      </c>
    </row>
    <row r="15" spans="1:2" ht="12.75" customHeight="1">
      <c r="A15" s="5"/>
      <c r="B15" s="8"/>
    </row>
    <row r="16" spans="1:2" ht="12.75" customHeight="1">
      <c r="A16" s="5" t="s">
        <v>87</v>
      </c>
      <c r="B16" s="8" t="s">
        <v>48</v>
      </c>
    </row>
    <row r="17" spans="1:2" ht="12.75" customHeight="1">
      <c r="A17" s="5"/>
      <c r="B17" s="8"/>
    </row>
    <row r="18" spans="1:2" ht="12.75" customHeight="1">
      <c r="A18" s="5" t="s">
        <v>88</v>
      </c>
      <c r="B18" s="8" t="s">
        <v>89</v>
      </c>
    </row>
    <row r="19" spans="1:2" ht="12.75" customHeight="1">
      <c r="A19" s="5"/>
      <c r="B19" s="8"/>
    </row>
    <row r="20" spans="1:2" ht="12.75" customHeight="1">
      <c r="A20" s="5"/>
      <c r="B20" s="18"/>
    </row>
  </sheetData>
  <dataValidations count="1">
    <dataValidation type="list" allowBlank="1" showErrorMessage="1" sqref="B12" xr:uid="{00000000-0002-0000-0000-000000000000}">
      <formula1>"Upper Torso Center Large,Upper Torso Right Small"</formula1>
    </dataValidation>
  </dataValidations>
  <hyperlinks>
    <hyperlink ref="B3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4" width="31.42578125" customWidth="1"/>
  </cols>
  <sheetData>
    <row r="1" spans="1:4" ht="12.75" customHeight="1">
      <c r="A1" s="2" t="s">
        <v>0</v>
      </c>
      <c r="B1" s="2" t="s">
        <v>2</v>
      </c>
      <c r="C1" s="2" t="s">
        <v>3</v>
      </c>
      <c r="D1" s="2" t="s">
        <v>4</v>
      </c>
    </row>
    <row r="2" spans="1:4" ht="12.75" customHeight="1">
      <c r="A2" s="2" t="s">
        <v>5</v>
      </c>
      <c r="B2" s="2" t="s">
        <v>6</v>
      </c>
      <c r="C2" s="11" t="s">
        <v>7</v>
      </c>
      <c r="D2" s="7" t="s">
        <v>25</v>
      </c>
    </row>
    <row r="3" spans="1:4" ht="12.75" customHeight="1">
      <c r="A3" s="2" t="s">
        <v>26</v>
      </c>
      <c r="B3" s="2" t="s">
        <v>19</v>
      </c>
      <c r="C3" s="11" t="s">
        <v>27</v>
      </c>
      <c r="D3" s="7" t="s">
        <v>30</v>
      </c>
    </row>
    <row r="4" spans="1:4" ht="12.75" customHeight="1">
      <c r="A4" s="2" t="s">
        <v>31</v>
      </c>
      <c r="B4" s="2" t="s">
        <v>22</v>
      </c>
      <c r="C4" s="11" t="s">
        <v>33</v>
      </c>
      <c r="D4" s="7" t="s">
        <v>40</v>
      </c>
    </row>
    <row r="5" spans="1:4" ht="12.75" customHeight="1">
      <c r="A5" s="2" t="s">
        <v>41</v>
      </c>
      <c r="B5" s="2" t="s">
        <v>43</v>
      </c>
      <c r="C5" s="11" t="s">
        <v>44</v>
      </c>
      <c r="D5" s="7" t="s">
        <v>54</v>
      </c>
    </row>
    <row r="6" spans="1:4" ht="12.75" customHeight="1">
      <c r="A6" s="2" t="s">
        <v>55</v>
      </c>
      <c r="B6" s="2" t="s">
        <v>56</v>
      </c>
      <c r="C6" s="11" t="s">
        <v>57</v>
      </c>
      <c r="D6" s="7" t="s">
        <v>62</v>
      </c>
    </row>
    <row r="7" spans="1:4" ht="12.75" customHeight="1">
      <c r="A7" s="2" t="s">
        <v>63</v>
      </c>
      <c r="B7" s="2" t="s">
        <v>64</v>
      </c>
      <c r="C7" s="11" t="s">
        <v>65</v>
      </c>
      <c r="D7" s="7" t="s">
        <v>68</v>
      </c>
    </row>
    <row r="8" spans="1:4" ht="12.75" customHeight="1">
      <c r="A8" s="2" t="s">
        <v>70</v>
      </c>
      <c r="B8" s="2" t="s">
        <v>56</v>
      </c>
      <c r="C8" s="11" t="s">
        <v>71</v>
      </c>
      <c r="D8" s="7" t="s">
        <v>75</v>
      </c>
    </row>
    <row r="9" spans="1:4" ht="12.75" customHeight="1">
      <c r="A9" s="2" t="s">
        <v>76</v>
      </c>
      <c r="B9" s="2" t="s">
        <v>77</v>
      </c>
      <c r="C9" s="11" t="s">
        <v>78</v>
      </c>
      <c r="D9" s="7" t="s">
        <v>81</v>
      </c>
    </row>
    <row r="10" spans="1:4" ht="12.75" customHeight="1">
      <c r="A10" s="2" t="s">
        <v>82</v>
      </c>
      <c r="B10" s="2" t="s">
        <v>79</v>
      </c>
      <c r="C10" s="11" t="s">
        <v>84</v>
      </c>
      <c r="D10" s="7" t="s">
        <v>94</v>
      </c>
    </row>
    <row r="11" spans="1:4" ht="12.75" customHeight="1">
      <c r="A11" s="7"/>
      <c r="B11" s="7"/>
      <c r="C11" s="7"/>
      <c r="D11" s="7"/>
    </row>
    <row r="12" spans="1:4" ht="12.75" customHeight="1">
      <c r="A12" s="7"/>
      <c r="B12" s="7"/>
      <c r="C12" s="7"/>
      <c r="D12" s="7"/>
    </row>
    <row r="13" spans="1:4" ht="12.75" customHeight="1">
      <c r="A13" s="2"/>
      <c r="B13" s="2"/>
      <c r="C13" s="2"/>
      <c r="D13" s="2"/>
    </row>
    <row r="14" spans="1:4" ht="12.75" customHeight="1">
      <c r="A14" s="7"/>
      <c r="B14" s="7"/>
      <c r="C14" s="7"/>
      <c r="D14" s="7"/>
    </row>
    <row r="15" spans="1:4" ht="12.75" customHeight="1">
      <c r="A15" s="7"/>
      <c r="B15" s="7"/>
      <c r="C15" s="7"/>
      <c r="D15" s="7"/>
    </row>
    <row r="16" spans="1:4" ht="12.75" customHeight="1">
      <c r="A16" s="7"/>
      <c r="B16" s="7"/>
      <c r="C16" s="7"/>
      <c r="D16" s="7"/>
    </row>
    <row r="17" spans="1:4" ht="12.75" customHeight="1">
      <c r="A17" s="7"/>
      <c r="B17" s="7"/>
      <c r="C17" s="7"/>
      <c r="D17" s="7"/>
    </row>
    <row r="18" spans="1:4" ht="12.75" customHeight="1">
      <c r="A18" s="7"/>
      <c r="B18" s="7"/>
      <c r="C18" s="7"/>
      <c r="D18" s="7"/>
    </row>
    <row r="19" spans="1:4" ht="12.75" customHeight="1">
      <c r="A19" s="7"/>
      <c r="B19" s="7"/>
      <c r="C19" s="7"/>
      <c r="D19" s="7"/>
    </row>
    <row r="20" spans="1:4" ht="12.75" customHeight="1">
      <c r="A20" s="7"/>
      <c r="B20" s="7"/>
      <c r="C20" s="7"/>
      <c r="D20" s="7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</hyperlinks>
  <pageMargins left="0.7" right="0.7" top="0.78740157499999996" bottom="0.78740157499999996" header="0.3" footer="0.3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2.75" customHeight="1"/>
  <cols>
    <col min="1" max="1" width="6.42578125" customWidth="1"/>
    <col min="2" max="2" width="12.5703125" customWidth="1"/>
    <col min="3" max="7" width="18.85546875" customWidth="1"/>
    <col min="8" max="8" width="50.140625" customWidth="1"/>
  </cols>
  <sheetData>
    <row r="1" spans="1:8" ht="12.75" customHeight="1">
      <c r="A1" s="1"/>
      <c r="B1" s="1"/>
      <c r="C1" s="69" t="s">
        <v>1</v>
      </c>
      <c r="D1" s="70"/>
      <c r="E1" s="1"/>
      <c r="F1" s="1"/>
      <c r="G1" s="1"/>
      <c r="H1" s="1"/>
    </row>
    <row r="2" spans="1:8" ht="12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2.75" customHeight="1">
      <c r="A3" s="4">
        <v>1</v>
      </c>
      <c r="B3" s="6">
        <v>46309</v>
      </c>
      <c r="C3" s="7" t="s">
        <v>19</v>
      </c>
      <c r="D3" s="7" t="s">
        <v>6</v>
      </c>
      <c r="E3" s="7" t="s">
        <v>20</v>
      </c>
      <c r="F3" s="7" t="s">
        <v>21</v>
      </c>
      <c r="G3" s="7" t="s">
        <v>22</v>
      </c>
      <c r="H3" s="9"/>
    </row>
    <row r="4" spans="1:8" ht="12.75" customHeight="1">
      <c r="A4" s="4">
        <v>2</v>
      </c>
      <c r="B4" s="6">
        <f t="shared" ref="B4:B11" si="0">B3+7</f>
        <v>46316</v>
      </c>
      <c r="C4" s="7" t="s">
        <v>6</v>
      </c>
      <c r="D4" s="7" t="s">
        <v>19</v>
      </c>
      <c r="E4" s="7" t="s">
        <v>20</v>
      </c>
      <c r="F4" s="7" t="s">
        <v>43</v>
      </c>
      <c r="G4" s="7" t="s">
        <v>22</v>
      </c>
      <c r="H4" s="9"/>
    </row>
    <row r="5" spans="1:8" ht="12.75" customHeight="1">
      <c r="A5" s="4">
        <v>3</v>
      </c>
      <c r="B5" s="6">
        <f t="shared" si="0"/>
        <v>46323</v>
      </c>
      <c r="C5" s="7" t="s">
        <v>19</v>
      </c>
      <c r="D5" s="7" t="s">
        <v>6</v>
      </c>
      <c r="E5" s="7" t="s">
        <v>20</v>
      </c>
      <c r="F5" s="7" t="s">
        <v>72</v>
      </c>
      <c r="G5" s="7" t="s">
        <v>22</v>
      </c>
      <c r="H5" s="9"/>
    </row>
    <row r="6" spans="1:8" ht="12.75" customHeight="1">
      <c r="A6" s="4">
        <v>4</v>
      </c>
      <c r="B6" s="6">
        <f t="shared" si="0"/>
        <v>46330</v>
      </c>
      <c r="C6" s="7" t="s">
        <v>6</v>
      </c>
      <c r="D6" s="7" t="s">
        <v>19</v>
      </c>
      <c r="E6" s="7" t="s">
        <v>20</v>
      </c>
      <c r="F6" s="7" t="s">
        <v>64</v>
      </c>
      <c r="G6" s="7" t="s">
        <v>22</v>
      </c>
      <c r="H6" s="9"/>
    </row>
    <row r="7" spans="1:8" ht="12.75" customHeight="1">
      <c r="A7" s="4">
        <v>5</v>
      </c>
      <c r="B7" s="6">
        <f t="shared" si="0"/>
        <v>46337</v>
      </c>
      <c r="C7" s="7" t="s">
        <v>19</v>
      </c>
      <c r="D7" s="7" t="s">
        <v>6</v>
      </c>
      <c r="E7" s="7" t="s">
        <v>20</v>
      </c>
      <c r="F7" s="7" t="s">
        <v>73</v>
      </c>
      <c r="G7" s="7" t="s">
        <v>22</v>
      </c>
      <c r="H7" s="9"/>
    </row>
    <row r="8" spans="1:8" ht="12.75" customHeight="1">
      <c r="A8" s="4">
        <v>6</v>
      </c>
      <c r="B8" s="6">
        <f t="shared" si="0"/>
        <v>46344</v>
      </c>
      <c r="C8" s="7" t="s">
        <v>6</v>
      </c>
      <c r="D8" s="7" t="s">
        <v>19</v>
      </c>
      <c r="E8" s="7" t="s">
        <v>20</v>
      </c>
      <c r="F8" s="7" t="s">
        <v>77</v>
      </c>
      <c r="G8" s="7" t="s">
        <v>22</v>
      </c>
      <c r="H8" s="9"/>
    </row>
    <row r="9" spans="1:8" ht="12.75" customHeight="1">
      <c r="A9" s="4">
        <v>7</v>
      </c>
      <c r="B9" s="6">
        <f t="shared" si="0"/>
        <v>46351</v>
      </c>
      <c r="C9" s="7" t="s">
        <v>19</v>
      </c>
      <c r="D9" s="7" t="s">
        <v>6</v>
      </c>
      <c r="E9" s="7" t="s">
        <v>20</v>
      </c>
      <c r="F9" s="7" t="s">
        <v>79</v>
      </c>
      <c r="G9" s="7" t="s">
        <v>22</v>
      </c>
      <c r="H9" s="16" t="s">
        <v>80</v>
      </c>
    </row>
    <row r="10" spans="1:8" ht="12.75" customHeight="1">
      <c r="A10" s="4">
        <v>8</v>
      </c>
      <c r="B10" s="6">
        <f t="shared" si="0"/>
        <v>46358</v>
      </c>
      <c r="C10" s="7" t="s">
        <v>6</v>
      </c>
      <c r="D10" s="7" t="s">
        <v>19</v>
      </c>
      <c r="E10" s="7" t="s">
        <v>20</v>
      </c>
      <c r="F10" s="7" t="s">
        <v>43</v>
      </c>
      <c r="G10" s="7" t="s">
        <v>22</v>
      </c>
      <c r="H10" s="9"/>
    </row>
    <row r="11" spans="1:8" ht="12.75" customHeight="1">
      <c r="A11" s="4">
        <v>9</v>
      </c>
      <c r="B11" s="6">
        <f t="shared" si="0"/>
        <v>46365</v>
      </c>
      <c r="C11" s="7" t="s">
        <v>19</v>
      </c>
      <c r="D11" s="7" t="s">
        <v>6</v>
      </c>
      <c r="E11" s="7" t="s">
        <v>20</v>
      </c>
      <c r="F11" s="7" t="s">
        <v>72</v>
      </c>
      <c r="G11" s="7" t="s">
        <v>22</v>
      </c>
      <c r="H11" s="9"/>
    </row>
    <row r="12" spans="1:8" ht="12.75" customHeight="1">
      <c r="A12" s="4">
        <v>10</v>
      </c>
      <c r="B12" s="6">
        <v>44937</v>
      </c>
      <c r="C12" s="7" t="s">
        <v>6</v>
      </c>
      <c r="D12" s="7" t="s">
        <v>19</v>
      </c>
      <c r="E12" s="7" t="s">
        <v>20</v>
      </c>
      <c r="F12" s="7" t="s">
        <v>64</v>
      </c>
      <c r="G12" s="7" t="s">
        <v>22</v>
      </c>
      <c r="H12" s="9"/>
    </row>
    <row r="13" spans="1:8" ht="12.75" customHeight="1">
      <c r="A13" s="4">
        <v>11</v>
      </c>
      <c r="B13" s="6">
        <f t="shared" ref="B13:B17" si="1">B12+7</f>
        <v>44944</v>
      </c>
      <c r="C13" s="7" t="s">
        <v>19</v>
      </c>
      <c r="D13" s="7" t="s">
        <v>6</v>
      </c>
      <c r="E13" s="7" t="s">
        <v>20</v>
      </c>
      <c r="F13" s="7" t="s">
        <v>73</v>
      </c>
      <c r="G13" s="7" t="s">
        <v>22</v>
      </c>
      <c r="H13" s="9"/>
    </row>
    <row r="14" spans="1:8" ht="12.75" customHeight="1">
      <c r="A14" s="4">
        <v>12</v>
      </c>
      <c r="B14" s="6">
        <f t="shared" si="1"/>
        <v>44951</v>
      </c>
      <c r="C14" s="7" t="s">
        <v>6</v>
      </c>
      <c r="D14" s="7" t="s">
        <v>19</v>
      </c>
      <c r="E14" s="7" t="s">
        <v>20</v>
      </c>
      <c r="F14" s="7" t="s">
        <v>77</v>
      </c>
      <c r="G14" s="7" t="s">
        <v>22</v>
      </c>
      <c r="H14" s="9"/>
    </row>
    <row r="15" spans="1:8" ht="12.75" customHeight="1">
      <c r="A15" s="4">
        <v>13</v>
      </c>
      <c r="B15" s="6">
        <f t="shared" si="1"/>
        <v>44958</v>
      </c>
      <c r="C15" s="7" t="s">
        <v>19</v>
      </c>
      <c r="D15" s="7" t="s">
        <v>6</v>
      </c>
      <c r="E15" s="7" t="s">
        <v>20</v>
      </c>
      <c r="F15" s="7" t="s">
        <v>79</v>
      </c>
      <c r="G15" s="7" t="s">
        <v>22</v>
      </c>
      <c r="H15" s="9"/>
    </row>
    <row r="16" spans="1:8" ht="12.75" customHeight="1">
      <c r="A16" s="4">
        <v>14</v>
      </c>
      <c r="B16" s="6">
        <f t="shared" si="1"/>
        <v>44965</v>
      </c>
      <c r="C16" s="7" t="s">
        <v>6</v>
      </c>
      <c r="D16" s="7" t="s">
        <v>19</v>
      </c>
      <c r="E16" s="7" t="s">
        <v>20</v>
      </c>
      <c r="F16" s="7" t="s">
        <v>43</v>
      </c>
      <c r="G16" s="7" t="s">
        <v>22</v>
      </c>
      <c r="H16" s="16" t="s">
        <v>96</v>
      </c>
    </row>
    <row r="17" spans="1:8" ht="12.75" customHeight="1">
      <c r="A17" s="4">
        <v>15</v>
      </c>
      <c r="B17" s="6">
        <f t="shared" si="1"/>
        <v>44972</v>
      </c>
      <c r="C17" s="7" t="s">
        <v>19</v>
      </c>
      <c r="D17" s="7" t="s">
        <v>6</v>
      </c>
      <c r="E17" s="7" t="s">
        <v>20</v>
      </c>
      <c r="F17" s="7" t="s">
        <v>72</v>
      </c>
      <c r="G17" s="7" t="s">
        <v>22</v>
      </c>
      <c r="H17" s="16" t="s">
        <v>97</v>
      </c>
    </row>
    <row r="18" spans="1:8" ht="12.75" customHeight="1">
      <c r="A18" s="4"/>
      <c r="B18" s="19"/>
      <c r="C18" s="7"/>
      <c r="D18" s="7"/>
      <c r="E18" s="7"/>
      <c r="F18" s="7"/>
      <c r="G18" s="7"/>
      <c r="H18" s="9"/>
    </row>
    <row r="19" spans="1:8" ht="12.75" customHeight="1">
      <c r="A19" s="16" t="s">
        <v>98</v>
      </c>
      <c r="B19" s="9"/>
      <c r="C19" s="16"/>
      <c r="D19" s="16"/>
      <c r="E19" s="16"/>
      <c r="F19" s="16"/>
      <c r="G19" s="16"/>
      <c r="H19" s="9"/>
    </row>
    <row r="20" spans="1:8" ht="12.75" customHeight="1">
      <c r="A20" s="16"/>
      <c r="B20" s="19"/>
      <c r="C20" s="7"/>
      <c r="D20" s="7"/>
      <c r="E20" s="7"/>
      <c r="F20" s="7"/>
      <c r="G20" s="7"/>
      <c r="H20" s="9"/>
    </row>
    <row r="21" spans="1:8" ht="12.75" customHeight="1">
      <c r="A21" s="4"/>
      <c r="B21" s="19"/>
      <c r="C21" s="7"/>
      <c r="D21" s="7"/>
      <c r="E21" s="7"/>
      <c r="F21" s="7"/>
      <c r="G21" s="7"/>
      <c r="H21" s="9"/>
    </row>
  </sheetData>
  <mergeCells count="1">
    <mergeCell ref="C1:D1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9"/>
  <sheetViews>
    <sheetView workbookViewId="0">
      <selection activeCell="E6" sqref="E6"/>
    </sheetView>
  </sheetViews>
  <sheetFormatPr baseColWidth="10" defaultColWidth="12.5703125" defaultRowHeight="12.75" customHeight="1"/>
  <cols>
    <col min="1" max="1" width="25.140625" customWidth="1"/>
    <col min="2" max="2" width="175" customWidth="1"/>
  </cols>
  <sheetData>
    <row r="1" spans="1:2" ht="12.75" customHeight="1">
      <c r="A1" s="10" t="s">
        <v>17</v>
      </c>
      <c r="B1" s="12"/>
    </row>
    <row r="2" spans="1:2" ht="99.75" customHeight="1">
      <c r="A2" s="13"/>
      <c r="B2" s="13" t="s">
        <v>28</v>
      </c>
    </row>
    <row r="3" spans="1:2" ht="12.75" customHeight="1">
      <c r="A3" s="10" t="s">
        <v>29</v>
      </c>
      <c r="B3" s="12"/>
    </row>
    <row r="4" spans="1:2" ht="88.5" customHeight="1">
      <c r="A4" s="13"/>
      <c r="B4" s="13" t="s">
        <v>32</v>
      </c>
    </row>
    <row r="5" spans="1:2" ht="12.75" customHeight="1">
      <c r="A5" s="10" t="s">
        <v>34</v>
      </c>
      <c r="B5" s="12"/>
    </row>
    <row r="6" spans="1:2" ht="214.5" customHeight="1">
      <c r="A6" s="13"/>
      <c r="B6" s="13" t="s">
        <v>35</v>
      </c>
    </row>
    <row r="7" spans="1:2" ht="12.75" customHeight="1">
      <c r="A7" s="10" t="s">
        <v>36</v>
      </c>
      <c r="B7" s="12"/>
    </row>
    <row r="8" spans="1:2" ht="65.25" customHeight="1">
      <c r="A8" s="13"/>
      <c r="B8" s="13" t="s">
        <v>37</v>
      </c>
    </row>
    <row r="9" spans="1:2" ht="12.75" customHeight="1">
      <c r="A9" s="10" t="s">
        <v>38</v>
      </c>
      <c r="B9" s="12"/>
    </row>
    <row r="10" spans="1:2" ht="82.5" customHeight="1">
      <c r="A10" s="13"/>
      <c r="B10" s="13" t="s">
        <v>39</v>
      </c>
    </row>
    <row r="11" spans="1:2" ht="12.75" customHeight="1">
      <c r="A11" s="10" t="s">
        <v>42</v>
      </c>
      <c r="B11" s="12"/>
    </row>
    <row r="12" spans="1:2" ht="78" customHeight="1">
      <c r="A12" s="13"/>
      <c r="B12" s="74" t="s">
        <v>45</v>
      </c>
    </row>
    <row r="13" spans="1:2" ht="12.75" customHeight="1">
      <c r="A13" s="10" t="s">
        <v>47</v>
      </c>
      <c r="B13" s="12"/>
    </row>
    <row r="14" spans="1:2" ht="107.25" customHeight="1">
      <c r="A14" s="13"/>
      <c r="B14" s="40" t="s">
        <v>50</v>
      </c>
    </row>
    <row r="15" spans="1:2" ht="12.75" customHeight="1">
      <c r="A15" s="10" t="s">
        <v>52</v>
      </c>
      <c r="B15" s="12"/>
    </row>
    <row r="16" spans="1:2" ht="93.75" customHeight="1">
      <c r="A16" s="13"/>
      <c r="B16" s="13" t="s">
        <v>58</v>
      </c>
    </row>
    <row r="17" spans="1:2" ht="12.75" customHeight="1">
      <c r="A17" s="10" t="s">
        <v>59</v>
      </c>
      <c r="B17" s="12"/>
    </row>
    <row r="18" spans="1:2" ht="45.75" customHeight="1">
      <c r="A18" s="13"/>
      <c r="B18" s="17" t="s">
        <v>66</v>
      </c>
    </row>
    <row r="19" spans="1:2" ht="12.75" customHeight="1">
      <c r="A19" s="10" t="s">
        <v>86</v>
      </c>
      <c r="B19" s="10"/>
    </row>
    <row r="21" spans="1:2" ht="12.75" customHeight="1">
      <c r="A21" s="8" t="s">
        <v>14</v>
      </c>
      <c r="B21" s="8" t="s">
        <v>22</v>
      </c>
    </row>
    <row r="22" spans="1:2" ht="12.75" customHeight="1">
      <c r="A22" s="8" t="s">
        <v>90</v>
      </c>
      <c r="B22" s="8" t="s">
        <v>91</v>
      </c>
    </row>
    <row r="23" spans="1:2" ht="12.75" customHeight="1">
      <c r="A23" s="8" t="s">
        <v>90</v>
      </c>
      <c r="B23" s="8" t="s">
        <v>6</v>
      </c>
    </row>
    <row r="24" spans="1:2" ht="12.75" customHeight="1">
      <c r="A24" s="8" t="s">
        <v>92</v>
      </c>
      <c r="B24" s="8" t="s">
        <v>56</v>
      </c>
    </row>
    <row r="25" spans="1:2" ht="12.75" customHeight="1">
      <c r="A25" s="8" t="s">
        <v>92</v>
      </c>
      <c r="B25" s="8" t="s">
        <v>93</v>
      </c>
    </row>
    <row r="26" spans="1:2" ht="12.75" customHeight="1">
      <c r="A26" s="8" t="s">
        <v>92</v>
      </c>
      <c r="B26" s="8" t="s">
        <v>95</v>
      </c>
    </row>
    <row r="27" spans="1:2" ht="12.75" customHeight="1">
      <c r="A27" s="8" t="s">
        <v>92</v>
      </c>
      <c r="B27" s="8" t="s">
        <v>79</v>
      </c>
    </row>
    <row r="28" spans="1:2">
      <c r="A28" s="8" t="s">
        <v>92</v>
      </c>
      <c r="B28" s="8" t="s">
        <v>77</v>
      </c>
    </row>
    <row r="29" spans="1:2">
      <c r="A29" s="8" t="s">
        <v>92</v>
      </c>
      <c r="B29" s="8" t="s">
        <v>56</v>
      </c>
    </row>
  </sheetData>
  <hyperlinks>
    <hyperlink ref="B18" r:id="rId1" xr:uid="{00000000-0004-0000-0300-000000000000}"/>
  </hyperlinks>
  <pageMargins left="0.7" right="0.7" top="0.78740157499999996" bottom="0.78740157499999996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0"/>
  <sheetViews>
    <sheetView workbookViewId="0">
      <pane ySplit="1" topLeftCell="A2" activePane="bottomLeft" state="frozen"/>
      <selection pane="bottomLeft" activeCell="B3" sqref="B3:B20"/>
    </sheetView>
  </sheetViews>
  <sheetFormatPr baseColWidth="10" defaultColWidth="12.5703125" defaultRowHeight="12.75" customHeight="1"/>
  <cols>
    <col min="1" max="2" width="62.5703125" customWidth="1"/>
  </cols>
  <sheetData>
    <row r="1" spans="1:2" ht="12.75" customHeight="1">
      <c r="A1" s="22" t="s">
        <v>103</v>
      </c>
      <c r="B1" s="22" t="s">
        <v>107</v>
      </c>
    </row>
    <row r="2" spans="1:2" ht="12.75" customHeight="1">
      <c r="A2" s="23"/>
      <c r="B2" s="23"/>
    </row>
    <row r="3" spans="1:2" ht="12.75" customHeight="1">
      <c r="A3" s="71" t="s">
        <v>112</v>
      </c>
      <c r="B3" s="71" t="s">
        <v>118</v>
      </c>
    </row>
    <row r="4" spans="1:2" ht="12.75" customHeight="1">
      <c r="A4" s="70"/>
      <c r="B4" s="70"/>
    </row>
    <row r="5" spans="1:2" ht="12.75" customHeight="1">
      <c r="A5" s="70"/>
      <c r="B5" s="70"/>
    </row>
    <row r="6" spans="1:2" ht="12.75" customHeight="1">
      <c r="A6" s="70"/>
      <c r="B6" s="70"/>
    </row>
    <row r="7" spans="1:2" ht="12.75" customHeight="1">
      <c r="A7" s="70"/>
      <c r="B7" s="70"/>
    </row>
    <row r="8" spans="1:2" ht="12.75" customHeight="1">
      <c r="A8" s="70"/>
      <c r="B8" s="70"/>
    </row>
    <row r="9" spans="1:2" ht="12.75" customHeight="1">
      <c r="A9" s="70"/>
      <c r="B9" s="70"/>
    </row>
    <row r="10" spans="1:2" ht="12.75" customHeight="1">
      <c r="A10" s="70"/>
      <c r="B10" s="70"/>
    </row>
    <row r="11" spans="1:2" ht="12.75" customHeight="1">
      <c r="A11" s="70"/>
      <c r="B11" s="70"/>
    </row>
    <row r="12" spans="1:2" ht="12.75" customHeight="1">
      <c r="A12" s="70"/>
      <c r="B12" s="70"/>
    </row>
    <row r="13" spans="1:2" ht="12.75" customHeight="1">
      <c r="A13" s="70"/>
      <c r="B13" s="70"/>
    </row>
    <row r="14" spans="1:2" ht="12.75" customHeight="1">
      <c r="A14" s="70"/>
      <c r="B14" s="70"/>
    </row>
    <row r="15" spans="1:2" ht="12.75" customHeight="1">
      <c r="A15" s="70"/>
      <c r="B15" s="70"/>
    </row>
    <row r="16" spans="1:2" ht="12.75" customHeight="1">
      <c r="A16" s="70"/>
      <c r="B16" s="70"/>
    </row>
    <row r="17" spans="1:2" ht="12.75" customHeight="1">
      <c r="A17" s="70"/>
      <c r="B17" s="70"/>
    </row>
    <row r="18" spans="1:2" ht="12.75" customHeight="1">
      <c r="A18" s="70"/>
      <c r="B18" s="70"/>
    </row>
    <row r="19" spans="1:2" ht="12.75" customHeight="1">
      <c r="A19" s="70"/>
      <c r="B19" s="70"/>
    </row>
    <row r="20" spans="1:2" ht="12.75" customHeight="1">
      <c r="A20" s="70"/>
      <c r="B20" s="70"/>
    </row>
  </sheetData>
  <mergeCells count="2">
    <mergeCell ref="B3:B20"/>
    <mergeCell ref="A3:A20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1" width="25.140625" customWidth="1"/>
    <col min="2" max="2" width="100.140625" customWidth="1"/>
  </cols>
  <sheetData>
    <row r="1" spans="1:2" ht="12.75" customHeight="1">
      <c r="A1" s="5" t="s">
        <v>101</v>
      </c>
      <c r="B1" s="5" t="s">
        <v>104</v>
      </c>
    </row>
    <row r="2" spans="1:2" ht="12.75" customHeight="1">
      <c r="A2" s="8" t="s">
        <v>105</v>
      </c>
      <c r="B2" s="8" t="s">
        <v>106</v>
      </c>
    </row>
    <row r="3" spans="1:2" ht="12.75" customHeight="1">
      <c r="A3" s="8" t="s">
        <v>108</v>
      </c>
      <c r="B3" s="8" t="s">
        <v>109</v>
      </c>
    </row>
    <row r="4" spans="1:2" ht="12.75" customHeight="1">
      <c r="A4" s="8" t="s">
        <v>110</v>
      </c>
      <c r="B4" s="8" t="s">
        <v>111</v>
      </c>
    </row>
    <row r="5" spans="1:2" ht="12.75" customHeight="1">
      <c r="A5" s="8" t="s">
        <v>113</v>
      </c>
      <c r="B5" s="8" t="s">
        <v>114</v>
      </c>
    </row>
    <row r="6" spans="1:2" ht="12.75" customHeight="1">
      <c r="A6" s="8" t="s">
        <v>115</v>
      </c>
      <c r="B6" s="8" t="s">
        <v>116</v>
      </c>
    </row>
    <row r="7" spans="1:2" ht="12.75" customHeight="1">
      <c r="A7" s="8" t="s">
        <v>119</v>
      </c>
      <c r="B7" s="8" t="s">
        <v>121</v>
      </c>
    </row>
    <row r="8" spans="1:2" ht="12.75" customHeight="1">
      <c r="A8" s="8" t="s">
        <v>123</v>
      </c>
      <c r="B8" s="8" t="s">
        <v>124</v>
      </c>
    </row>
    <row r="9" spans="1:2" ht="12.75" customHeight="1">
      <c r="A9" s="8" t="s">
        <v>125</v>
      </c>
      <c r="B9" s="8" t="s">
        <v>127</v>
      </c>
    </row>
    <row r="10" spans="1:2" ht="12.75" customHeight="1">
      <c r="A10" s="8" t="s">
        <v>128</v>
      </c>
      <c r="B10" s="8" t="s">
        <v>129</v>
      </c>
    </row>
    <row r="11" spans="1:2" ht="12.75" customHeight="1">
      <c r="A11" s="8" t="s">
        <v>130</v>
      </c>
      <c r="B11" s="8" t="s">
        <v>131</v>
      </c>
    </row>
    <row r="12" spans="1:2" ht="12.75" customHeight="1">
      <c r="A12" s="8" t="s">
        <v>132</v>
      </c>
      <c r="B12" s="8" t="s">
        <v>133</v>
      </c>
    </row>
    <row r="13" spans="1:2" ht="12.75" customHeight="1">
      <c r="A13" s="8" t="s">
        <v>134</v>
      </c>
      <c r="B13" s="8" t="s">
        <v>135</v>
      </c>
    </row>
    <row r="14" spans="1:2" ht="12.75" customHeight="1">
      <c r="A14" s="8" t="s">
        <v>136</v>
      </c>
      <c r="B14" s="8" t="s">
        <v>137</v>
      </c>
    </row>
    <row r="15" spans="1:2" ht="12.75" customHeight="1">
      <c r="A15" s="8" t="s">
        <v>138</v>
      </c>
      <c r="B15" s="8" t="s">
        <v>139</v>
      </c>
    </row>
    <row r="16" spans="1:2" ht="12.75" customHeight="1">
      <c r="A16" s="8" t="s">
        <v>140</v>
      </c>
      <c r="B16" s="8" t="s">
        <v>141</v>
      </c>
    </row>
    <row r="17" spans="1:2" ht="12.75" customHeight="1">
      <c r="A17" s="8" t="s">
        <v>142</v>
      </c>
      <c r="B17" s="8" t="s">
        <v>143</v>
      </c>
    </row>
    <row r="18" spans="1:2" ht="12.75" customHeight="1">
      <c r="A18" s="8" t="s">
        <v>144</v>
      </c>
      <c r="B18" s="8" t="s">
        <v>145</v>
      </c>
    </row>
    <row r="19" spans="1:2" ht="12.75" customHeight="1">
      <c r="A19" s="8" t="s">
        <v>146</v>
      </c>
      <c r="B19" s="8" t="s">
        <v>147</v>
      </c>
    </row>
    <row r="20" spans="1:2" ht="12.75" customHeight="1">
      <c r="A20" s="8" t="s">
        <v>148</v>
      </c>
      <c r="B20" s="8" t="s">
        <v>149</v>
      </c>
    </row>
    <row r="21" spans="1:2" ht="12.75" customHeight="1">
      <c r="A21" s="8" t="s">
        <v>150</v>
      </c>
      <c r="B21" s="8" t="s">
        <v>151</v>
      </c>
    </row>
    <row r="22" spans="1:2" ht="12.75" customHeight="1">
      <c r="A22" s="8" t="s">
        <v>152</v>
      </c>
      <c r="B22" s="8" t="s">
        <v>153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1" width="12.5703125" customWidth="1"/>
    <col min="2" max="2" width="112.5703125" customWidth="1"/>
  </cols>
  <sheetData>
    <row r="1" spans="1:2" ht="12.75" customHeight="1">
      <c r="A1" s="20" t="s">
        <v>99</v>
      </c>
      <c r="B1" s="5" t="s">
        <v>100</v>
      </c>
    </row>
    <row r="2" spans="1:2" ht="12.75" customHeight="1">
      <c r="A2" s="21">
        <v>1</v>
      </c>
      <c r="B2" s="8" t="s">
        <v>102</v>
      </c>
    </row>
    <row r="3" spans="1:2" ht="12.75" customHeight="1">
      <c r="A3" s="21">
        <f t="shared" ref="A3:A16" si="0">A2+1</f>
        <v>2</v>
      </c>
      <c r="B3" s="8" t="s">
        <v>117</v>
      </c>
    </row>
    <row r="4" spans="1:2" ht="12.75" customHeight="1">
      <c r="A4" s="21">
        <f t="shared" si="0"/>
        <v>3</v>
      </c>
      <c r="B4" s="8" t="s">
        <v>117</v>
      </c>
    </row>
    <row r="5" spans="1:2" ht="12.75" customHeight="1">
      <c r="A5" s="21">
        <f t="shared" si="0"/>
        <v>4</v>
      </c>
      <c r="B5" s="8" t="s">
        <v>120</v>
      </c>
    </row>
    <row r="6" spans="1:2" ht="12.75" customHeight="1">
      <c r="A6" s="21">
        <f t="shared" si="0"/>
        <v>5</v>
      </c>
      <c r="B6" s="8" t="s">
        <v>122</v>
      </c>
    </row>
    <row r="7" spans="1:2" ht="12.75" customHeight="1">
      <c r="A7" s="21">
        <f t="shared" si="0"/>
        <v>6</v>
      </c>
      <c r="B7" s="8"/>
    </row>
    <row r="8" spans="1:2" ht="12.75" customHeight="1">
      <c r="A8" s="21">
        <f t="shared" si="0"/>
        <v>7</v>
      </c>
      <c r="B8" s="8"/>
    </row>
    <row r="9" spans="1:2" ht="12.75" customHeight="1">
      <c r="A9" s="21">
        <f t="shared" si="0"/>
        <v>8</v>
      </c>
      <c r="B9" s="8"/>
    </row>
    <row r="10" spans="1:2" ht="12.75" customHeight="1">
      <c r="A10" s="21">
        <f t="shared" si="0"/>
        <v>9</v>
      </c>
      <c r="B10" s="8"/>
    </row>
    <row r="11" spans="1:2" ht="12.75" customHeight="1">
      <c r="A11" s="21">
        <f t="shared" si="0"/>
        <v>10</v>
      </c>
      <c r="B11" s="8"/>
    </row>
    <row r="12" spans="1:2" ht="12.75" customHeight="1">
      <c r="A12" s="21">
        <f t="shared" si="0"/>
        <v>11</v>
      </c>
      <c r="B12" s="8"/>
    </row>
    <row r="13" spans="1:2" ht="12.75" customHeight="1">
      <c r="A13" s="21">
        <f t="shared" si="0"/>
        <v>12</v>
      </c>
      <c r="B13" s="8"/>
    </row>
    <row r="14" spans="1:2" ht="12.75" customHeight="1">
      <c r="A14" s="21">
        <f t="shared" si="0"/>
        <v>13</v>
      </c>
      <c r="B14" s="8"/>
    </row>
    <row r="15" spans="1:2" ht="12.75" customHeight="1">
      <c r="A15" s="21">
        <f t="shared" si="0"/>
        <v>14</v>
      </c>
      <c r="B15" s="8"/>
    </row>
    <row r="16" spans="1:2" ht="12.75" customHeight="1">
      <c r="A16" s="21">
        <f t="shared" si="0"/>
        <v>15</v>
      </c>
      <c r="B16" s="8"/>
    </row>
    <row r="17" spans="1:2" ht="12.75" customHeight="1">
      <c r="A17" s="21"/>
      <c r="B17" s="8"/>
    </row>
    <row r="18" spans="1:2" ht="12.75" customHeight="1">
      <c r="A18" s="21"/>
      <c r="B18" s="8"/>
    </row>
    <row r="19" spans="1:2" ht="12.75" customHeight="1">
      <c r="A19" s="21"/>
      <c r="B19" s="8"/>
    </row>
    <row r="20" spans="1:2" ht="12.75" customHeight="1">
      <c r="A20" s="21"/>
      <c r="B20" s="8"/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1" width="12.5703125" customWidth="1"/>
    <col min="2" max="2" width="112.5703125" customWidth="1"/>
  </cols>
  <sheetData>
    <row r="1" spans="1:2" ht="12.75" customHeight="1">
      <c r="A1" s="20" t="s">
        <v>99</v>
      </c>
      <c r="B1" s="5" t="s">
        <v>126</v>
      </c>
    </row>
    <row r="2" spans="1:2" ht="12.75" customHeight="1">
      <c r="A2" s="21">
        <v>1</v>
      </c>
      <c r="B2" s="8"/>
    </row>
    <row r="3" spans="1:2" ht="12.75" customHeight="1">
      <c r="A3" s="21">
        <f t="shared" ref="A3:A16" si="0">A2+1</f>
        <v>2</v>
      </c>
      <c r="B3" s="8"/>
    </row>
    <row r="4" spans="1:2" ht="12.75" customHeight="1">
      <c r="A4" s="21">
        <f t="shared" si="0"/>
        <v>3</v>
      </c>
      <c r="B4" s="8"/>
    </row>
    <row r="5" spans="1:2" ht="12.75" customHeight="1">
      <c r="A5" s="21">
        <f t="shared" si="0"/>
        <v>4</v>
      </c>
    </row>
    <row r="6" spans="1:2" ht="12.75" customHeight="1">
      <c r="A6" s="21">
        <f t="shared" si="0"/>
        <v>5</v>
      </c>
      <c r="B6" s="8"/>
    </row>
    <row r="7" spans="1:2" ht="12.75" customHeight="1">
      <c r="A7" s="21">
        <f t="shared" si="0"/>
        <v>6</v>
      </c>
      <c r="B7" s="8"/>
    </row>
    <row r="8" spans="1:2" ht="12.75" customHeight="1">
      <c r="A8" s="21">
        <f t="shared" si="0"/>
        <v>7</v>
      </c>
      <c r="B8" s="8"/>
    </row>
    <row r="9" spans="1:2" ht="12.75" customHeight="1">
      <c r="A9" s="21">
        <f t="shared" si="0"/>
        <v>8</v>
      </c>
      <c r="B9" s="8"/>
    </row>
    <row r="10" spans="1:2" ht="12.75" customHeight="1">
      <c r="A10" s="21">
        <f t="shared" si="0"/>
        <v>9</v>
      </c>
      <c r="B10" s="8"/>
    </row>
    <row r="11" spans="1:2" ht="12.75" customHeight="1">
      <c r="A11" s="21">
        <f t="shared" si="0"/>
        <v>10</v>
      </c>
      <c r="B11" s="8"/>
    </row>
    <row r="12" spans="1:2" ht="12.75" customHeight="1">
      <c r="A12" s="21">
        <f t="shared" si="0"/>
        <v>11</v>
      </c>
      <c r="B12" s="8"/>
    </row>
    <row r="13" spans="1:2" ht="12.75" customHeight="1">
      <c r="A13" s="21">
        <f t="shared" si="0"/>
        <v>12</v>
      </c>
      <c r="B13" s="8"/>
    </row>
    <row r="14" spans="1:2" ht="12.75" customHeight="1">
      <c r="A14" s="21">
        <f t="shared" si="0"/>
        <v>13</v>
      </c>
      <c r="B14" s="8"/>
    </row>
    <row r="15" spans="1:2" ht="12.75" customHeight="1">
      <c r="A15" s="21">
        <f t="shared" si="0"/>
        <v>14</v>
      </c>
      <c r="B15" s="8"/>
    </row>
    <row r="16" spans="1:2" ht="12.75" customHeight="1">
      <c r="A16" s="21">
        <f t="shared" si="0"/>
        <v>15</v>
      </c>
      <c r="B16" s="8"/>
    </row>
    <row r="17" spans="1:2" ht="12.75" customHeight="1">
      <c r="A17" s="21"/>
      <c r="B17" s="8"/>
    </row>
    <row r="18" spans="1:2" ht="12.75" customHeight="1">
      <c r="A18" s="21"/>
      <c r="B18" s="27" t="s">
        <v>158</v>
      </c>
    </row>
    <row r="19" spans="1:2" ht="12.75" customHeight="1">
      <c r="A19" s="21"/>
      <c r="B19" s="8"/>
    </row>
    <row r="20" spans="1:2" ht="12.75" customHeight="1">
      <c r="A20" s="21"/>
      <c r="B20" s="8"/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2" width="6.42578125" customWidth="1"/>
    <col min="3" max="3" width="62.5703125" customWidth="1"/>
    <col min="4" max="7" width="15.7109375" customWidth="1"/>
  </cols>
  <sheetData>
    <row r="1" spans="1:7" ht="12.75" customHeight="1">
      <c r="A1" s="24" t="s">
        <v>154</v>
      </c>
      <c r="B1" s="25" t="s">
        <v>155</v>
      </c>
      <c r="C1" s="25" t="s">
        <v>156</v>
      </c>
      <c r="D1" s="26" t="s">
        <v>157</v>
      </c>
      <c r="E1" s="26" t="s">
        <v>159</v>
      </c>
      <c r="F1" s="26" t="s">
        <v>160</v>
      </c>
      <c r="G1" s="26" t="s">
        <v>161</v>
      </c>
    </row>
    <row r="2" spans="1:7" ht="12.75" customHeight="1">
      <c r="A2" s="28"/>
      <c r="B2" s="29"/>
      <c r="C2" s="12"/>
      <c r="D2" s="12"/>
      <c r="E2" s="12"/>
      <c r="F2" s="12"/>
      <c r="G2" s="12"/>
    </row>
    <row r="3" spans="1:7" ht="12.75" customHeight="1">
      <c r="A3" s="30" t="s">
        <v>162</v>
      </c>
      <c r="B3" s="31"/>
      <c r="C3" s="32"/>
      <c r="D3" s="32"/>
      <c r="E3" s="32"/>
      <c r="F3" s="32"/>
      <c r="G3" s="32"/>
    </row>
    <row r="4" spans="1:7" ht="12.75" customHeight="1">
      <c r="A4" s="28"/>
      <c r="B4" s="29"/>
      <c r="C4" s="12"/>
      <c r="D4" s="12"/>
      <c r="E4" s="12"/>
      <c r="F4" s="12"/>
      <c r="G4" s="12"/>
    </row>
    <row r="5" spans="1:7" ht="12.75" customHeight="1">
      <c r="A5" s="34" t="s">
        <v>163</v>
      </c>
      <c r="B5" s="7"/>
      <c r="C5" s="13"/>
      <c r="D5" s="35">
        <f>SUM(D8:D13)</f>
        <v>0</v>
      </c>
      <c r="E5" s="35">
        <f>D5</f>
        <v>0</v>
      </c>
      <c r="F5" s="13"/>
      <c r="G5" s="13"/>
    </row>
    <row r="6" spans="1:7" ht="12.75" customHeight="1">
      <c r="A6" s="28"/>
      <c r="B6" s="29"/>
      <c r="C6" s="12"/>
      <c r="D6" s="12"/>
      <c r="E6" s="12"/>
      <c r="F6" s="12"/>
      <c r="G6" s="12"/>
    </row>
    <row r="7" spans="1:7" ht="12.75" customHeight="1">
      <c r="A7" s="36" t="s">
        <v>169</v>
      </c>
      <c r="B7" s="37"/>
      <c r="C7" s="38"/>
      <c r="D7" s="38"/>
      <c r="E7" s="38"/>
      <c r="F7" s="38"/>
      <c r="G7" s="38"/>
    </row>
    <row r="8" spans="1:7" ht="12.75" customHeight="1">
      <c r="A8" s="28"/>
      <c r="B8" s="29"/>
      <c r="C8" s="12"/>
      <c r="D8" s="12"/>
      <c r="E8" s="39" t="s">
        <v>170</v>
      </c>
      <c r="F8" s="12"/>
      <c r="G8" s="39" t="s">
        <v>171</v>
      </c>
    </row>
    <row r="9" spans="1:7" ht="12.75" customHeight="1">
      <c r="A9" s="40">
        <v>1</v>
      </c>
      <c r="B9" s="34"/>
      <c r="C9" s="13"/>
      <c r="D9" s="35">
        <f>SUM(D16:D21)</f>
        <v>0</v>
      </c>
      <c r="E9" s="35">
        <f>$D$5</f>
        <v>0</v>
      </c>
      <c r="F9" s="35">
        <f>SUM(F16:F21)</f>
        <v>0</v>
      </c>
      <c r="G9" s="35">
        <f>$D$5</f>
        <v>0</v>
      </c>
    </row>
    <row r="10" spans="1:7" ht="12.75" customHeight="1">
      <c r="A10" s="28">
        <f t="shared" ref="A10:A11" si="0">A9+1</f>
        <v>2</v>
      </c>
      <c r="B10" s="29"/>
      <c r="C10" s="12"/>
      <c r="D10" s="41">
        <f>SUM(D22:D27)</f>
        <v>0</v>
      </c>
      <c r="E10" s="41">
        <f t="shared" ref="E10:E12" si="1">E9-D9</f>
        <v>0</v>
      </c>
      <c r="F10" s="41">
        <f>SUM(F22:F27)</f>
        <v>0</v>
      </c>
      <c r="G10" s="41">
        <f t="shared" ref="G10:G12" si="2">G9-F9</f>
        <v>0</v>
      </c>
    </row>
    <row r="11" spans="1:7" ht="12.75" customHeight="1">
      <c r="A11" s="40">
        <f t="shared" si="0"/>
        <v>3</v>
      </c>
      <c r="B11" s="34"/>
      <c r="C11" s="13"/>
      <c r="D11" s="35">
        <f>SUM(D28:D33)</f>
        <v>0</v>
      </c>
      <c r="E11" s="35">
        <f t="shared" si="1"/>
        <v>0</v>
      </c>
      <c r="F11" s="35">
        <f>SUM(F28:F33)</f>
        <v>0</v>
      </c>
      <c r="G11" s="35">
        <f t="shared" si="2"/>
        <v>0</v>
      </c>
    </row>
    <row r="12" spans="1:7" ht="12.75" customHeight="1">
      <c r="A12" s="28" t="s">
        <v>48</v>
      </c>
      <c r="B12" s="29"/>
      <c r="C12" s="12"/>
      <c r="D12" s="12"/>
      <c r="E12" s="41">
        <f t="shared" si="1"/>
        <v>0</v>
      </c>
      <c r="F12" s="12"/>
      <c r="G12" s="41">
        <f t="shared" si="2"/>
        <v>0</v>
      </c>
    </row>
    <row r="13" spans="1:7" ht="12.75" customHeight="1">
      <c r="A13" s="40"/>
      <c r="B13" s="34"/>
      <c r="C13" s="13"/>
      <c r="D13" s="13"/>
      <c r="E13" s="13"/>
      <c r="F13" s="13"/>
      <c r="G13" s="13"/>
    </row>
    <row r="14" spans="1:7" ht="12.75" customHeight="1">
      <c r="A14" s="48" t="s">
        <v>177</v>
      </c>
      <c r="B14" s="49"/>
      <c r="C14" s="51"/>
      <c r="D14" s="51"/>
      <c r="E14" s="51"/>
      <c r="F14" s="51"/>
      <c r="G14" s="51"/>
    </row>
    <row r="15" spans="1:7" ht="12.75" customHeight="1">
      <c r="A15" s="40"/>
      <c r="B15" s="34"/>
      <c r="C15" s="13"/>
      <c r="D15" s="13"/>
      <c r="E15" s="13"/>
      <c r="F15" s="13"/>
      <c r="G15" s="13"/>
    </row>
    <row r="16" spans="1:7" ht="12.75" customHeight="1">
      <c r="A16" s="54">
        <f t="shared" ref="A16:B16" si="3">A9</f>
        <v>1</v>
      </c>
      <c r="B16" s="56">
        <f t="shared" si="3"/>
        <v>0</v>
      </c>
      <c r="C16" s="12"/>
      <c r="D16" s="12"/>
      <c r="E16" s="12"/>
      <c r="F16" s="12"/>
      <c r="G16" s="12"/>
    </row>
    <row r="17" spans="1:7" ht="12.75" customHeight="1">
      <c r="A17" s="40"/>
      <c r="B17" s="55"/>
      <c r="C17" s="13"/>
      <c r="D17" s="13"/>
      <c r="E17" s="13"/>
      <c r="F17" s="13"/>
      <c r="G17" s="13"/>
    </row>
    <row r="18" spans="1:7" ht="12.75" customHeight="1">
      <c r="A18" s="28"/>
      <c r="B18" s="29"/>
      <c r="C18" s="29"/>
      <c r="D18" s="41"/>
      <c r="E18" s="29"/>
      <c r="F18" s="41"/>
      <c r="G18" s="29"/>
    </row>
    <row r="19" spans="1:7" ht="12.75" customHeight="1">
      <c r="A19" s="40"/>
      <c r="B19" s="55"/>
      <c r="C19" s="13"/>
      <c r="D19" s="35"/>
      <c r="E19" s="13"/>
      <c r="F19" s="35"/>
      <c r="G19" s="13"/>
    </row>
    <row r="20" spans="1:7" ht="12.75" customHeight="1">
      <c r="A20" s="28"/>
      <c r="B20" s="29"/>
      <c r="C20" s="29"/>
      <c r="D20" s="41"/>
      <c r="E20" s="29"/>
      <c r="F20" s="41"/>
      <c r="G20" s="29"/>
    </row>
    <row r="21" spans="1:7" ht="12.75" customHeight="1">
      <c r="A21" s="40"/>
      <c r="B21" s="55"/>
      <c r="C21" s="13"/>
      <c r="D21" s="35"/>
      <c r="E21" s="13"/>
      <c r="F21" s="35"/>
      <c r="G21" s="13"/>
    </row>
    <row r="22" spans="1:7" ht="12.75" customHeight="1">
      <c r="A22" s="54">
        <f t="shared" ref="A22:B22" si="4">A10</f>
        <v>2</v>
      </c>
      <c r="B22" s="56">
        <f t="shared" si="4"/>
        <v>0</v>
      </c>
      <c r="C22" s="12"/>
      <c r="D22" s="12"/>
      <c r="E22" s="12"/>
      <c r="F22" s="12"/>
      <c r="G22" s="12"/>
    </row>
    <row r="23" spans="1:7" ht="12.75" customHeight="1">
      <c r="A23" s="40"/>
      <c r="B23" s="55"/>
      <c r="C23" s="13"/>
      <c r="D23" s="13"/>
      <c r="E23" s="13"/>
      <c r="F23" s="13"/>
      <c r="G23" s="13"/>
    </row>
    <row r="24" spans="1:7" ht="12.75" customHeight="1">
      <c r="A24" s="28"/>
      <c r="B24" s="29"/>
      <c r="C24" s="29"/>
      <c r="D24" s="41"/>
      <c r="E24" s="29"/>
      <c r="F24" s="41"/>
      <c r="G24" s="29"/>
    </row>
    <row r="25" spans="1:7" ht="12.75" customHeight="1">
      <c r="A25" s="40"/>
      <c r="B25" s="55"/>
      <c r="C25" s="13"/>
      <c r="D25" s="35"/>
      <c r="E25" s="13"/>
      <c r="F25" s="35"/>
      <c r="G25" s="13"/>
    </row>
    <row r="26" spans="1:7" ht="12.75" customHeight="1">
      <c r="A26" s="28"/>
      <c r="B26" s="29"/>
      <c r="C26" s="29"/>
      <c r="D26" s="41"/>
      <c r="E26" s="29"/>
      <c r="F26" s="41"/>
      <c r="G26" s="29"/>
    </row>
    <row r="27" spans="1:7" ht="12.75" customHeight="1">
      <c r="A27" s="40"/>
      <c r="B27" s="55"/>
      <c r="C27" s="13"/>
      <c r="D27" s="35"/>
      <c r="E27" s="13"/>
      <c r="F27" s="35"/>
      <c r="G27" s="13"/>
    </row>
    <row r="28" spans="1:7" ht="12.75" customHeight="1">
      <c r="A28" s="54">
        <f t="shared" ref="A28:B28" si="5">A11</f>
        <v>3</v>
      </c>
      <c r="B28" s="56">
        <f t="shared" si="5"/>
        <v>0</v>
      </c>
      <c r="C28" s="12"/>
      <c r="D28" s="12"/>
      <c r="E28" s="12"/>
      <c r="F28" s="12"/>
      <c r="G28" s="12"/>
    </row>
    <row r="29" spans="1:7" ht="12.75" customHeight="1">
      <c r="A29" s="40"/>
      <c r="B29" s="55"/>
      <c r="C29" s="13"/>
      <c r="D29" s="13"/>
      <c r="E29" s="13"/>
      <c r="F29" s="13"/>
      <c r="G29" s="13"/>
    </row>
    <row r="30" spans="1:7">
      <c r="A30" s="28"/>
      <c r="B30" s="29"/>
      <c r="C30" s="29"/>
      <c r="D30" s="41"/>
      <c r="E30" s="29"/>
      <c r="F30" s="29"/>
      <c r="G30" s="29"/>
    </row>
    <row r="31" spans="1:7">
      <c r="A31" s="40"/>
      <c r="B31" s="55"/>
      <c r="C31" s="13"/>
      <c r="D31" s="35"/>
      <c r="E31" s="13"/>
      <c r="F31" s="13"/>
      <c r="G31" s="13"/>
    </row>
    <row r="32" spans="1:7">
      <c r="A32" s="28"/>
      <c r="B32" s="29"/>
      <c r="C32" s="12"/>
      <c r="D32" s="41"/>
      <c r="E32" s="29"/>
      <c r="F32" s="29"/>
      <c r="G32" s="29"/>
    </row>
    <row r="33" spans="1:7">
      <c r="A33" s="40"/>
      <c r="B33" s="55"/>
      <c r="C33" s="61" t="s">
        <v>178</v>
      </c>
      <c r="D33" s="35"/>
      <c r="E33" s="13"/>
      <c r="F33" s="13"/>
      <c r="G33" s="13"/>
    </row>
    <row r="34" spans="1:7">
      <c r="A34" s="28"/>
      <c r="B34" s="29"/>
      <c r="C34" s="12"/>
      <c r="D34" s="12"/>
      <c r="E34" s="12"/>
      <c r="F34" s="12"/>
      <c r="G34" s="12"/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2" width="6.42578125" customWidth="1"/>
    <col min="3" max="3" width="62.5703125" customWidth="1"/>
    <col min="4" max="7" width="15.7109375" customWidth="1"/>
  </cols>
  <sheetData>
    <row r="1" spans="1:7" ht="12.75" customHeight="1">
      <c r="A1" s="24" t="s">
        <v>154</v>
      </c>
      <c r="B1" s="33" t="s">
        <v>155</v>
      </c>
      <c r="C1" s="25" t="s">
        <v>156</v>
      </c>
      <c r="D1" s="26" t="s">
        <v>157</v>
      </c>
      <c r="E1" s="26" t="s">
        <v>159</v>
      </c>
      <c r="F1" s="26" t="s">
        <v>160</v>
      </c>
      <c r="G1" s="26" t="s">
        <v>161</v>
      </c>
    </row>
    <row r="2" spans="1:7" ht="12.75" customHeight="1">
      <c r="A2" s="28"/>
      <c r="B2" s="12"/>
      <c r="C2" s="12"/>
      <c r="D2" s="12"/>
      <c r="E2" s="12"/>
      <c r="F2" s="12"/>
      <c r="G2" s="12"/>
    </row>
    <row r="3" spans="1:7" ht="12.75" customHeight="1">
      <c r="A3" s="30" t="s">
        <v>162</v>
      </c>
      <c r="B3" s="32"/>
      <c r="C3" s="32"/>
      <c r="D3" s="32"/>
      <c r="E3" s="32"/>
      <c r="F3" s="32"/>
      <c r="G3" s="32"/>
    </row>
    <row r="4" spans="1:7" ht="12.75" customHeight="1">
      <c r="A4" s="28"/>
      <c r="B4" s="12"/>
      <c r="C4" s="12"/>
      <c r="D4" s="12"/>
      <c r="E4" s="12"/>
      <c r="F4" s="12"/>
      <c r="G4" s="12"/>
    </row>
    <row r="5" spans="1:7" ht="12.75" customHeight="1">
      <c r="A5" s="34" t="s">
        <v>163</v>
      </c>
      <c r="B5" s="13"/>
      <c r="C5" s="13"/>
      <c r="D5" s="35">
        <f>SUM(D8:D13)</f>
        <v>0</v>
      </c>
      <c r="E5" s="35">
        <f>D5</f>
        <v>0</v>
      </c>
      <c r="F5" s="13"/>
      <c r="G5" s="13"/>
    </row>
    <row r="6" spans="1:7" ht="12.75" customHeight="1">
      <c r="A6" s="28"/>
      <c r="B6" s="12"/>
      <c r="C6" s="12"/>
      <c r="D6" s="12"/>
      <c r="E6" s="12"/>
      <c r="F6" s="12"/>
      <c r="G6" s="12"/>
    </row>
    <row r="7" spans="1:7" ht="12.75" customHeight="1">
      <c r="A7" s="36" t="s">
        <v>169</v>
      </c>
      <c r="B7" s="37"/>
      <c r="C7" s="38"/>
      <c r="D7" s="38"/>
      <c r="E7" s="38"/>
      <c r="F7" s="38"/>
      <c r="G7" s="38"/>
    </row>
    <row r="8" spans="1:7" ht="12.75" customHeight="1">
      <c r="A8" s="28"/>
      <c r="B8" s="12"/>
      <c r="C8" s="12"/>
      <c r="D8" s="12"/>
      <c r="E8" s="39" t="s">
        <v>170</v>
      </c>
      <c r="F8" s="12"/>
      <c r="G8" s="39" t="s">
        <v>171</v>
      </c>
    </row>
    <row r="9" spans="1:7" ht="12.75" customHeight="1">
      <c r="A9" s="40">
        <v>1</v>
      </c>
      <c r="B9" s="13"/>
      <c r="C9" s="13"/>
      <c r="D9" s="35">
        <f>SUM(D16:D21)</f>
        <v>0</v>
      </c>
      <c r="E9" s="35">
        <f>$D$5</f>
        <v>0</v>
      </c>
      <c r="F9" s="35">
        <f>SUM(F16:F21)</f>
        <v>0</v>
      </c>
      <c r="G9" s="35">
        <f>$D$5</f>
        <v>0</v>
      </c>
    </row>
    <row r="10" spans="1:7" ht="12.75" customHeight="1">
      <c r="A10" s="28">
        <f t="shared" ref="A10:A11" si="0">A9+1</f>
        <v>2</v>
      </c>
      <c r="B10" s="12"/>
      <c r="C10" s="12"/>
      <c r="D10" s="41">
        <f>SUM(D22:D27)</f>
        <v>0</v>
      </c>
      <c r="E10" s="41">
        <f t="shared" ref="E10:E12" si="1">E9-D9</f>
        <v>0</v>
      </c>
      <c r="F10" s="41">
        <f>SUM(F22:F27)</f>
        <v>0</v>
      </c>
      <c r="G10" s="41">
        <f t="shared" ref="G10:G12" si="2">G9-F9</f>
        <v>0</v>
      </c>
    </row>
    <row r="11" spans="1:7" ht="12.75" customHeight="1">
      <c r="A11" s="40">
        <f t="shared" si="0"/>
        <v>3</v>
      </c>
      <c r="B11" s="13"/>
      <c r="C11" s="13"/>
      <c r="D11" s="35">
        <f>SUM(D28:D33)</f>
        <v>0</v>
      </c>
      <c r="E11" s="35">
        <f t="shared" si="1"/>
        <v>0</v>
      </c>
      <c r="F11" s="35">
        <f>SUM(F28:F33)</f>
        <v>0</v>
      </c>
      <c r="G11" s="35">
        <f t="shared" si="2"/>
        <v>0</v>
      </c>
    </row>
    <row r="12" spans="1:7" ht="12.75" customHeight="1">
      <c r="A12" s="28" t="s">
        <v>48</v>
      </c>
      <c r="B12" s="12"/>
      <c r="C12" s="12"/>
      <c r="D12" s="12"/>
      <c r="E12" s="41">
        <f t="shared" si="1"/>
        <v>0</v>
      </c>
      <c r="F12" s="12"/>
      <c r="G12" s="41">
        <f t="shared" si="2"/>
        <v>0</v>
      </c>
    </row>
    <row r="13" spans="1:7" ht="12.75" customHeight="1">
      <c r="A13" s="40"/>
      <c r="B13" s="13"/>
      <c r="C13" s="13"/>
      <c r="D13" s="13"/>
      <c r="E13" s="13"/>
      <c r="F13" s="13"/>
      <c r="G13" s="13"/>
    </row>
    <row r="14" spans="1:7" ht="12.75" customHeight="1">
      <c r="A14" s="48" t="s">
        <v>177</v>
      </c>
      <c r="B14" s="49"/>
      <c r="C14" s="51"/>
      <c r="D14" s="51"/>
      <c r="E14" s="51"/>
      <c r="F14" s="51"/>
      <c r="G14" s="51"/>
    </row>
    <row r="15" spans="1:7" ht="12.75" customHeight="1">
      <c r="A15" s="40"/>
      <c r="B15" s="13"/>
      <c r="C15" s="13"/>
      <c r="D15" s="13"/>
      <c r="E15" s="13"/>
      <c r="F15" s="13"/>
      <c r="G15" s="13"/>
    </row>
    <row r="16" spans="1:7" ht="12.75" customHeight="1">
      <c r="A16" s="54">
        <f>A9</f>
        <v>1</v>
      </c>
      <c r="B16" s="12"/>
      <c r="C16" s="12"/>
      <c r="D16" s="12"/>
      <c r="E16" s="12"/>
      <c r="F16" s="12"/>
      <c r="G16" s="12"/>
    </row>
    <row r="17" spans="1:7" ht="12.75" customHeight="1">
      <c r="A17" s="40"/>
      <c r="B17" s="55"/>
      <c r="C17" s="13"/>
      <c r="D17" s="13"/>
      <c r="E17" s="13"/>
      <c r="F17" s="13"/>
      <c r="G17" s="13"/>
    </row>
    <row r="18" spans="1:7" ht="12.75" customHeight="1">
      <c r="A18" s="28"/>
      <c r="B18" s="12"/>
      <c r="C18" s="29"/>
      <c r="D18" s="41"/>
      <c r="E18" s="29"/>
      <c r="F18" s="41"/>
      <c r="G18" s="29"/>
    </row>
    <row r="19" spans="1:7" ht="12.75" customHeight="1">
      <c r="A19" s="40"/>
      <c r="B19" s="13"/>
      <c r="C19" s="13"/>
      <c r="D19" s="35"/>
      <c r="E19" s="13"/>
      <c r="F19" s="35"/>
      <c r="G19" s="13"/>
    </row>
    <row r="20" spans="1:7" ht="12.75" customHeight="1">
      <c r="A20" s="28"/>
      <c r="B20" s="12"/>
      <c r="C20" s="29"/>
      <c r="D20" s="41"/>
      <c r="E20" s="29"/>
      <c r="F20" s="41"/>
      <c r="G20" s="29"/>
    </row>
    <row r="21" spans="1:7" ht="12.75" customHeight="1">
      <c r="A21" s="40"/>
      <c r="B21" s="13"/>
      <c r="C21" s="13"/>
      <c r="D21" s="35"/>
      <c r="E21" s="13"/>
      <c r="F21" s="35"/>
      <c r="G21" s="13"/>
    </row>
    <row r="22" spans="1:7" ht="12.75" customHeight="1">
      <c r="A22" s="54">
        <f>A10</f>
        <v>2</v>
      </c>
      <c r="B22" s="12"/>
      <c r="C22" s="12"/>
      <c r="D22" s="12"/>
      <c r="E22" s="12"/>
      <c r="F22" s="12"/>
      <c r="G22" s="12"/>
    </row>
    <row r="23" spans="1:7" ht="12.75" customHeight="1">
      <c r="A23" s="40"/>
      <c r="B23" s="55"/>
      <c r="C23" s="13"/>
      <c r="D23" s="13"/>
      <c r="E23" s="13"/>
      <c r="F23" s="13"/>
      <c r="G23" s="13"/>
    </row>
    <row r="24" spans="1:7" ht="12.75" customHeight="1">
      <c r="A24" s="28"/>
      <c r="B24" s="12"/>
      <c r="C24" s="29"/>
      <c r="D24" s="41"/>
      <c r="E24" s="29"/>
      <c r="F24" s="41"/>
      <c r="G24" s="29"/>
    </row>
    <row r="25" spans="1:7" ht="12.75" customHeight="1">
      <c r="A25" s="40"/>
      <c r="B25" s="13"/>
      <c r="C25" s="13"/>
      <c r="D25" s="35"/>
      <c r="E25" s="13"/>
      <c r="F25" s="35"/>
      <c r="G25" s="13"/>
    </row>
    <row r="26" spans="1:7" ht="12.75" customHeight="1">
      <c r="A26" s="28"/>
      <c r="B26" s="12"/>
      <c r="C26" s="29"/>
      <c r="D26" s="41"/>
      <c r="E26" s="29"/>
      <c r="F26" s="41"/>
      <c r="G26" s="29"/>
    </row>
    <row r="27" spans="1:7" ht="12.75" customHeight="1">
      <c r="A27" s="40"/>
      <c r="B27" s="13"/>
      <c r="C27" s="13"/>
      <c r="D27" s="35"/>
      <c r="E27" s="13"/>
      <c r="F27" s="35"/>
      <c r="G27" s="13"/>
    </row>
    <row r="28" spans="1:7" ht="12.75" customHeight="1">
      <c r="A28" s="54">
        <f>A11</f>
        <v>3</v>
      </c>
      <c r="B28" s="12"/>
      <c r="C28" s="12"/>
      <c r="D28" s="12"/>
      <c r="E28" s="12"/>
      <c r="F28" s="12"/>
      <c r="G28" s="12"/>
    </row>
    <row r="29" spans="1:7" ht="12.75" customHeight="1">
      <c r="A29" s="40"/>
      <c r="B29" s="55"/>
      <c r="C29" s="13"/>
      <c r="D29" s="13"/>
      <c r="E29" s="13"/>
      <c r="F29" s="13"/>
      <c r="G29" s="13"/>
    </row>
    <row r="30" spans="1:7">
      <c r="A30" s="28"/>
      <c r="B30" s="12"/>
      <c r="C30" s="29"/>
      <c r="D30" s="41"/>
      <c r="E30" s="29"/>
      <c r="F30" s="29"/>
      <c r="G30" s="29"/>
    </row>
    <row r="31" spans="1:7">
      <c r="A31" s="40"/>
      <c r="B31" s="13"/>
      <c r="C31" s="13"/>
      <c r="D31" s="35"/>
      <c r="E31" s="13"/>
      <c r="F31" s="13"/>
      <c r="G31" s="13"/>
    </row>
    <row r="32" spans="1:7">
      <c r="A32" s="28"/>
      <c r="B32" s="12"/>
      <c r="C32" s="12"/>
      <c r="D32" s="41"/>
      <c r="E32" s="29"/>
      <c r="F32" s="29"/>
      <c r="G32" s="29"/>
    </row>
    <row r="33" spans="1:7">
      <c r="A33" s="40"/>
      <c r="B33" s="13"/>
      <c r="C33" s="61" t="s">
        <v>178</v>
      </c>
      <c r="D33" s="35"/>
      <c r="E33" s="13"/>
      <c r="F33" s="13"/>
      <c r="G33" s="13"/>
    </row>
    <row r="34" spans="1:7">
      <c r="A34" s="28"/>
      <c r="B34" s="12"/>
      <c r="C34" s="12"/>
      <c r="D34" s="12"/>
      <c r="E34" s="12"/>
      <c r="F34" s="12"/>
      <c r="G34" s="12"/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1" width="5.140625" customWidth="1"/>
    <col min="2" max="4" width="40.140625" customWidth="1"/>
  </cols>
  <sheetData>
    <row r="1" spans="1:4" ht="12.75" customHeight="1">
      <c r="A1" s="33" t="s">
        <v>8</v>
      </c>
      <c r="B1" s="25" t="s">
        <v>164</v>
      </c>
      <c r="C1" s="25" t="s">
        <v>165</v>
      </c>
      <c r="D1" s="25" t="s">
        <v>166</v>
      </c>
    </row>
    <row r="2" spans="1:4" ht="12.75" customHeight="1">
      <c r="A2" s="8"/>
      <c r="B2" s="8"/>
      <c r="C2" s="8"/>
      <c r="D2" s="8"/>
    </row>
    <row r="3" spans="1:4" ht="12.75" customHeight="1">
      <c r="A3" s="8"/>
      <c r="B3" s="8"/>
      <c r="C3" s="8"/>
      <c r="D3" s="8"/>
    </row>
    <row r="4" spans="1:4" ht="12.75" customHeight="1">
      <c r="A4" s="8"/>
      <c r="B4" s="8"/>
      <c r="C4" s="8"/>
      <c r="D4" s="8"/>
    </row>
    <row r="5" spans="1:4" ht="12.75" customHeight="1">
      <c r="A5" s="8"/>
      <c r="B5" s="8"/>
      <c r="C5" s="8"/>
      <c r="D5" s="8"/>
    </row>
    <row r="6" spans="1:4" ht="12.75" customHeight="1">
      <c r="A6" s="8"/>
      <c r="B6" s="8"/>
      <c r="C6" s="8"/>
      <c r="D6" s="8"/>
    </row>
    <row r="7" spans="1:4" ht="12.75" customHeight="1">
      <c r="A7" s="8"/>
      <c r="B7" s="8"/>
      <c r="C7" s="8"/>
      <c r="D7" s="8"/>
    </row>
    <row r="8" spans="1:4" ht="12.75" customHeight="1">
      <c r="A8" s="8"/>
      <c r="B8" s="8"/>
      <c r="C8" s="8"/>
      <c r="D8" s="8"/>
    </row>
    <row r="9" spans="1:4" ht="12.75" customHeight="1">
      <c r="A9" s="8"/>
      <c r="B9" s="8"/>
      <c r="C9" s="8"/>
      <c r="D9" s="8"/>
    </row>
    <row r="10" spans="1:4" ht="12.75" customHeight="1">
      <c r="A10" s="8"/>
      <c r="B10" s="8"/>
      <c r="C10" s="8"/>
      <c r="D10" s="8"/>
    </row>
    <row r="11" spans="1:4" ht="12.75" customHeight="1">
      <c r="A11" s="8"/>
      <c r="B11" s="8"/>
      <c r="C11" s="8"/>
      <c r="D11" s="8"/>
    </row>
    <row r="12" spans="1:4" ht="12.75" customHeight="1">
      <c r="A12" s="8"/>
      <c r="B12" s="8"/>
      <c r="C12" s="8"/>
      <c r="D12" s="8"/>
    </row>
    <row r="13" spans="1:4" ht="12.75" customHeight="1">
      <c r="A13" s="8"/>
      <c r="B13" s="8"/>
      <c r="C13" s="8"/>
      <c r="D13" s="8"/>
    </row>
    <row r="14" spans="1:4" ht="12.75" customHeight="1">
      <c r="A14" s="8"/>
      <c r="B14" s="8"/>
      <c r="C14" s="8"/>
      <c r="D14" s="8"/>
    </row>
    <row r="15" spans="1:4" ht="12.75" customHeight="1">
      <c r="A15" s="8"/>
      <c r="B15" s="8"/>
      <c r="C15" s="8"/>
      <c r="D15" s="8"/>
    </row>
    <row r="16" spans="1:4" ht="12.75" customHeight="1">
      <c r="A16" s="8"/>
      <c r="B16" s="8"/>
      <c r="C16" s="8"/>
      <c r="D16" s="8"/>
    </row>
    <row r="17" spans="1:4" ht="12.75" customHeight="1">
      <c r="A17" s="8"/>
      <c r="B17" s="8"/>
      <c r="C17" s="8"/>
      <c r="D17" s="8"/>
    </row>
    <row r="18" spans="1:4" ht="12.75" customHeight="1">
      <c r="A18" s="8"/>
      <c r="B18" s="8"/>
      <c r="C18" s="8"/>
      <c r="D18" s="8"/>
    </row>
    <row r="19" spans="1:4" ht="12.75" customHeight="1">
      <c r="A19" s="8"/>
      <c r="B19" s="8"/>
      <c r="C19" s="8"/>
      <c r="D19" s="8"/>
    </row>
    <row r="20" spans="1:4" ht="12.75" customHeight="1">
      <c r="A20" s="8"/>
      <c r="B20" s="8"/>
      <c r="C20" s="8"/>
      <c r="D20" s="8"/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1" width="25.140625" customWidth="1"/>
    <col min="2" max="2" width="100.140625" customWidth="1"/>
  </cols>
  <sheetData>
    <row r="1" spans="1:2" ht="12.75" customHeight="1">
      <c r="A1" s="5" t="s">
        <v>167</v>
      </c>
      <c r="B1" s="5" t="s">
        <v>168</v>
      </c>
    </row>
    <row r="2" spans="1:2" ht="12.75" customHeight="1">
      <c r="A2" s="8"/>
      <c r="B2" s="8"/>
    </row>
    <row r="3" spans="1:2" ht="12.75" customHeight="1">
      <c r="A3" s="8"/>
      <c r="B3" s="8"/>
    </row>
    <row r="4" spans="1:2" ht="12.75" customHeight="1">
      <c r="A4" s="8"/>
      <c r="B4" s="8"/>
    </row>
    <row r="5" spans="1:2" ht="12.75" customHeight="1">
      <c r="A5" s="8"/>
      <c r="B5" s="8"/>
    </row>
    <row r="6" spans="1:2" ht="12.75" customHeight="1">
      <c r="A6" s="8"/>
      <c r="B6" s="8"/>
    </row>
    <row r="7" spans="1:2" ht="12.75" customHeight="1">
      <c r="A7" s="8"/>
      <c r="B7" s="8"/>
    </row>
    <row r="8" spans="1:2" ht="12.75" customHeight="1">
      <c r="A8" s="8"/>
      <c r="B8" s="8"/>
    </row>
    <row r="9" spans="1:2" ht="12.75" customHeight="1">
      <c r="A9" s="8"/>
      <c r="B9" s="8"/>
    </row>
    <row r="10" spans="1:2" ht="12.75" customHeight="1">
      <c r="A10" s="8"/>
      <c r="B10" s="8"/>
    </row>
    <row r="11" spans="1:2" ht="12.75" customHeight="1">
      <c r="A11" s="8"/>
      <c r="B11" s="8"/>
    </row>
    <row r="12" spans="1:2" ht="12.75" customHeight="1">
      <c r="A12" s="8"/>
      <c r="B12" s="8"/>
    </row>
    <row r="13" spans="1:2" ht="12.75" customHeight="1">
      <c r="A13" s="8"/>
      <c r="B13" s="8"/>
    </row>
    <row r="14" spans="1:2" ht="12.75" customHeight="1">
      <c r="A14" s="8"/>
      <c r="B14" s="8"/>
    </row>
    <row r="15" spans="1:2" ht="12.75" customHeight="1">
      <c r="A15" s="8"/>
      <c r="B15" s="8"/>
    </row>
    <row r="16" spans="1:2" ht="12.75" customHeight="1">
      <c r="A16" s="8"/>
      <c r="B16" s="8"/>
    </row>
    <row r="17" spans="1:2" ht="12.75" customHeight="1">
      <c r="A17" s="8"/>
      <c r="B17" s="8"/>
    </row>
    <row r="18" spans="1:2" ht="12.75" customHeight="1">
      <c r="A18" s="8"/>
      <c r="B18" s="8"/>
    </row>
    <row r="19" spans="1:2" ht="12.75" customHeight="1">
      <c r="A19" s="8"/>
      <c r="B19" s="8"/>
    </row>
    <row r="20" spans="1:2" ht="12.75" customHeight="1">
      <c r="A20" s="8"/>
      <c r="B20" s="8"/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1" width="6.42578125" customWidth="1"/>
    <col min="2" max="2" width="25.140625" customWidth="1"/>
    <col min="3" max="3" width="37.5703125" customWidth="1"/>
    <col min="4" max="4" width="9.42578125" customWidth="1"/>
    <col min="5" max="5" width="12.5703125" customWidth="1"/>
    <col min="6" max="6" width="37.5703125" customWidth="1"/>
  </cols>
  <sheetData>
    <row r="1" spans="1:6" ht="12.75" customHeight="1">
      <c r="A1" s="2" t="s">
        <v>8</v>
      </c>
      <c r="B1" s="5" t="s">
        <v>172</v>
      </c>
      <c r="C1" s="5" t="s">
        <v>173</v>
      </c>
      <c r="D1" s="5" t="s">
        <v>174</v>
      </c>
      <c r="E1" s="5" t="s">
        <v>175</v>
      </c>
      <c r="F1" s="5" t="s">
        <v>15</v>
      </c>
    </row>
    <row r="2" spans="1:6" ht="12.75" customHeight="1">
      <c r="A2" s="8"/>
      <c r="B2" s="8"/>
      <c r="C2" s="8"/>
      <c r="D2" s="8"/>
      <c r="E2" s="8"/>
      <c r="F2" s="8"/>
    </row>
    <row r="3" spans="1:6" ht="12.75" customHeight="1">
      <c r="A3" s="8"/>
      <c r="B3" s="8"/>
      <c r="C3" s="8"/>
      <c r="D3" s="8"/>
      <c r="E3" s="8"/>
      <c r="F3" s="8"/>
    </row>
    <row r="4" spans="1:6" ht="12.75" customHeight="1">
      <c r="A4" s="8"/>
      <c r="B4" s="8"/>
      <c r="C4" s="8"/>
      <c r="D4" s="8"/>
      <c r="E4" s="8"/>
      <c r="F4" s="8"/>
    </row>
    <row r="5" spans="1:6" ht="12.75" customHeight="1">
      <c r="A5" s="8"/>
      <c r="B5" s="8"/>
      <c r="C5" s="8"/>
      <c r="D5" s="8"/>
      <c r="E5" s="8"/>
      <c r="F5" s="8"/>
    </row>
    <row r="6" spans="1:6" ht="12.75" customHeight="1">
      <c r="A6" s="8"/>
      <c r="B6" s="8"/>
      <c r="C6" s="8"/>
      <c r="D6" s="8"/>
      <c r="E6" s="8"/>
      <c r="F6" s="8"/>
    </row>
    <row r="7" spans="1:6" ht="12.75" customHeight="1">
      <c r="A7" s="8"/>
      <c r="B7" s="8"/>
      <c r="C7" s="8"/>
      <c r="D7" s="8"/>
      <c r="E7" s="8"/>
      <c r="F7" s="8"/>
    </row>
    <row r="8" spans="1:6" ht="12.75" customHeight="1">
      <c r="A8" s="8"/>
      <c r="B8" s="8"/>
      <c r="C8" s="8"/>
      <c r="D8" s="8"/>
      <c r="E8" s="8"/>
      <c r="F8" s="8"/>
    </row>
    <row r="9" spans="1:6" ht="12.75" customHeight="1">
      <c r="A9" s="8"/>
      <c r="B9" s="8"/>
      <c r="C9" s="8"/>
      <c r="D9" s="8"/>
      <c r="E9" s="8"/>
      <c r="F9" s="8"/>
    </row>
    <row r="10" spans="1:6" ht="12.75" customHeight="1">
      <c r="A10" s="8"/>
      <c r="B10" s="8"/>
      <c r="C10" s="8"/>
      <c r="D10" s="8"/>
      <c r="E10" s="8"/>
      <c r="F10" s="8"/>
    </row>
    <row r="11" spans="1:6" ht="12.75" customHeight="1">
      <c r="A11" s="8"/>
      <c r="B11" s="8"/>
      <c r="C11" s="8"/>
      <c r="D11" s="8"/>
      <c r="E11" s="8"/>
      <c r="F11" s="8"/>
    </row>
    <row r="12" spans="1:6" ht="12.75" customHeight="1">
      <c r="A12" s="8"/>
      <c r="B12" s="8"/>
      <c r="C12" s="8"/>
      <c r="D12" s="8"/>
      <c r="E12" s="8"/>
      <c r="F12" s="8"/>
    </row>
    <row r="13" spans="1:6" ht="12.75" customHeight="1">
      <c r="A13" s="8"/>
      <c r="B13" s="8"/>
      <c r="C13" s="8"/>
      <c r="D13" s="8"/>
      <c r="E13" s="8"/>
      <c r="F13" s="8"/>
    </row>
    <row r="14" spans="1:6" ht="12.75" customHeight="1">
      <c r="A14" s="8"/>
      <c r="B14" s="8"/>
      <c r="C14" s="8"/>
      <c r="D14" s="8"/>
      <c r="E14" s="8"/>
      <c r="F14" s="8"/>
    </row>
    <row r="15" spans="1:6" ht="12.75" customHeight="1">
      <c r="A15" s="8"/>
      <c r="B15" s="8"/>
      <c r="C15" s="8"/>
      <c r="D15" s="8"/>
      <c r="E15" s="8"/>
      <c r="F15" s="8"/>
    </row>
    <row r="16" spans="1:6" ht="12.75" customHeight="1">
      <c r="A16" s="8"/>
      <c r="B16" s="8"/>
      <c r="C16" s="8"/>
      <c r="D16" s="8"/>
      <c r="E16" s="8"/>
      <c r="F16" s="8"/>
    </row>
    <row r="17" spans="1:6" ht="12.75" customHeight="1">
      <c r="A17" s="8"/>
      <c r="B17" s="8"/>
      <c r="C17" s="8"/>
      <c r="D17" s="8"/>
      <c r="E17" s="8"/>
      <c r="F17" s="8"/>
    </row>
    <row r="18" spans="1:6" ht="12.75" customHeight="1">
      <c r="A18" s="8"/>
      <c r="B18" s="8"/>
      <c r="C18" s="8"/>
      <c r="D18" s="8"/>
      <c r="E18" s="8"/>
      <c r="F18" s="8"/>
    </row>
    <row r="19" spans="1:6" ht="12.75" customHeight="1">
      <c r="A19" s="8"/>
      <c r="B19" s="8"/>
      <c r="C19" s="8"/>
      <c r="D19" s="8"/>
      <c r="E19" s="8"/>
      <c r="F19" s="8"/>
    </row>
    <row r="20" spans="1:6" ht="12.75" customHeight="1">
      <c r="A20" s="8"/>
      <c r="B20" s="8"/>
      <c r="C20" s="8"/>
      <c r="D20" s="8"/>
      <c r="E20" s="8"/>
      <c r="F20" s="8"/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H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2.75" customHeight="1"/>
  <cols>
    <col min="1" max="2" width="25.140625" customWidth="1"/>
    <col min="3" max="5" width="12.5703125" customWidth="1"/>
  </cols>
  <sheetData>
    <row r="1" spans="1:8" ht="12.75" customHeight="1">
      <c r="A1" s="42" t="str">
        <f>'Project Team'!A1</f>
        <v>Last Name</v>
      </c>
      <c r="B1" s="42" t="str">
        <f>'Project Team'!B1</f>
        <v>First Name</v>
      </c>
      <c r="C1" s="43" t="s">
        <v>176</v>
      </c>
      <c r="D1" s="44"/>
      <c r="E1" s="45"/>
      <c r="F1" s="46"/>
      <c r="G1" s="47"/>
      <c r="H1" s="47"/>
    </row>
    <row r="2" spans="1:8" ht="12.75" customHeight="1">
      <c r="A2" s="50" t="str">
        <f>'Project Team'!A2</f>
        <v>Fritz</v>
      </c>
      <c r="B2" s="50" t="str">
        <f>'Project Team'!B2</f>
        <v>Josefina</v>
      </c>
      <c r="C2" s="52">
        <v>0</v>
      </c>
      <c r="D2" s="53"/>
      <c r="E2" s="72">
        <f>AVERAGE(C2:C10)</f>
        <v>0</v>
      </c>
      <c r="F2" s="73" t="str">
        <f>IF(STDEV(C2:C7) &gt; 0,"NOK", "OK")</f>
        <v>OK</v>
      </c>
      <c r="G2" s="57"/>
      <c r="H2" s="57"/>
    </row>
    <row r="3" spans="1:8" ht="12.75" customHeight="1">
      <c r="A3" s="58" t="str">
        <f>'Project Team'!A3</f>
        <v>Barriga Vasquez</v>
      </c>
      <c r="B3" s="58" t="str">
        <f>'Project Team'!B3</f>
        <v>Fernando</v>
      </c>
      <c r="C3" s="52">
        <v>0</v>
      </c>
      <c r="D3" s="59"/>
      <c r="E3" s="70"/>
      <c r="F3" s="70"/>
      <c r="G3" s="60"/>
      <c r="H3" s="60"/>
    </row>
    <row r="4" spans="1:8" ht="12.75" customHeight="1">
      <c r="A4" s="50" t="str">
        <f>'Project Team'!A4</f>
        <v>Sternberg</v>
      </c>
      <c r="B4" s="50" t="str">
        <f>'Project Team'!B4</f>
        <v>Fiona</v>
      </c>
      <c r="C4" s="52"/>
      <c r="D4" s="53"/>
      <c r="E4" s="70"/>
      <c r="F4" s="70"/>
      <c r="G4" s="57"/>
      <c r="H4" s="57"/>
    </row>
    <row r="5" spans="1:8" ht="12.75" customHeight="1">
      <c r="A5" s="58" t="str">
        <f>'Project Team'!A5</f>
        <v>Afzal Yousuf</v>
      </c>
      <c r="B5" s="58" t="str">
        <f>'Project Team'!B5</f>
        <v xml:space="preserve">Ali </v>
      </c>
      <c r="C5" s="52"/>
      <c r="D5" s="62"/>
      <c r="E5" s="62"/>
      <c r="F5" s="62"/>
      <c r="G5" s="60"/>
      <c r="H5" s="60"/>
    </row>
    <row r="6" spans="1:8" ht="12.75" customHeight="1">
      <c r="A6" s="50" t="str">
        <f>'Project Team'!A6</f>
        <v>Pohlitz</v>
      </c>
      <c r="B6" s="50" t="str">
        <f>'Project Team'!B6</f>
        <v>Paul</v>
      </c>
      <c r="C6" s="52"/>
      <c r="D6" s="63"/>
      <c r="E6" s="64">
        <v>0</v>
      </c>
      <c r="F6" s="65" t="s">
        <v>179</v>
      </c>
      <c r="G6" s="57"/>
      <c r="H6" s="57"/>
    </row>
    <row r="7" spans="1:8" ht="12.75" customHeight="1">
      <c r="A7" s="58" t="str">
        <f>'Project Team'!A7</f>
        <v>Rubins</v>
      </c>
      <c r="B7" s="58" t="str">
        <f>'Project Team'!B7</f>
        <v>Adrians</v>
      </c>
      <c r="C7" s="52"/>
      <c r="D7" s="62"/>
      <c r="E7" s="64">
        <v>1</v>
      </c>
      <c r="F7" s="65" t="s">
        <v>180</v>
      </c>
      <c r="G7" s="60"/>
      <c r="H7" s="60"/>
    </row>
    <row r="8" spans="1:8" ht="12.75" customHeight="1">
      <c r="A8" s="50" t="str">
        <f>'Project Team'!A8</f>
        <v>Kiesel</v>
      </c>
      <c r="B8" s="50" t="str">
        <f>'Project Team'!B8</f>
        <v>Paul</v>
      </c>
      <c r="C8" s="52"/>
      <c r="D8" s="63"/>
      <c r="E8" s="64">
        <v>2</v>
      </c>
      <c r="F8" s="65" t="s">
        <v>181</v>
      </c>
      <c r="G8" s="57"/>
      <c r="H8" s="57"/>
    </row>
    <row r="9" spans="1:8" ht="12.75" customHeight="1">
      <c r="A9" s="58" t="str">
        <f>'Project Team'!A9</f>
        <v>Ahm</v>
      </c>
      <c r="B9" s="58" t="str">
        <f>'Project Team'!B9</f>
        <v>Raihan</v>
      </c>
      <c r="C9" s="52"/>
      <c r="D9" s="62"/>
      <c r="E9" s="64">
        <v>3</v>
      </c>
      <c r="F9" s="65" t="s">
        <v>182</v>
      </c>
      <c r="G9" s="60"/>
      <c r="H9" s="60"/>
    </row>
    <row r="10" spans="1:8" ht="12.75" customHeight="1">
      <c r="A10" s="50" t="str">
        <f>'Project Team'!A10</f>
        <v>Marques</v>
      </c>
      <c r="B10" s="50" t="str">
        <f>'Project Team'!B10</f>
        <v>Rafael</v>
      </c>
      <c r="C10" s="52"/>
      <c r="D10" s="63"/>
      <c r="E10" s="64">
        <v>5</v>
      </c>
      <c r="F10" s="65" t="s">
        <v>183</v>
      </c>
      <c r="G10" s="57"/>
      <c r="H10" s="57"/>
    </row>
    <row r="11" spans="1:8" ht="12.75" customHeight="1">
      <c r="A11" s="58"/>
      <c r="B11" s="58"/>
      <c r="C11" s="52"/>
      <c r="D11" s="62"/>
      <c r="E11" s="64">
        <v>8</v>
      </c>
      <c r="F11" s="65" t="s">
        <v>184</v>
      </c>
      <c r="G11" s="60"/>
      <c r="H11" s="60"/>
    </row>
    <row r="12" spans="1:8" ht="12.75" customHeight="1">
      <c r="A12" s="50"/>
      <c r="B12" s="50"/>
      <c r="C12" s="52"/>
      <c r="D12" s="63"/>
      <c r="E12" s="64">
        <v>13</v>
      </c>
      <c r="F12" s="65" t="s">
        <v>185</v>
      </c>
      <c r="G12" s="57"/>
      <c r="H12" s="57"/>
    </row>
    <row r="13" spans="1:8" ht="12.75" customHeight="1">
      <c r="A13" s="58"/>
      <c r="B13" s="58"/>
      <c r="C13" s="62"/>
      <c r="D13" s="62"/>
      <c r="E13" s="62"/>
      <c r="F13" s="62"/>
      <c r="G13" s="60"/>
      <c r="H13" s="60"/>
    </row>
    <row r="14" spans="1:8" ht="12.75" customHeight="1">
      <c r="A14" s="66" t="s">
        <v>186</v>
      </c>
      <c r="B14" s="66"/>
      <c r="C14" s="66"/>
      <c r="D14" s="66"/>
      <c r="E14" s="66"/>
      <c r="F14" s="66"/>
      <c r="G14" s="66"/>
      <c r="H14" s="66"/>
    </row>
    <row r="15" spans="1:8" ht="12.75" customHeight="1">
      <c r="A15" s="67"/>
      <c r="B15" s="67"/>
      <c r="C15" s="67"/>
      <c r="D15" s="67"/>
      <c r="E15" s="67"/>
      <c r="F15" s="67"/>
      <c r="G15" s="67"/>
      <c r="H15" s="67"/>
    </row>
    <row r="16" spans="1:8" ht="12.75" customHeight="1">
      <c r="A16" s="68" t="s">
        <v>187</v>
      </c>
      <c r="B16" s="68"/>
      <c r="C16" s="68"/>
      <c r="D16" s="68"/>
      <c r="E16" s="68"/>
      <c r="F16" s="68"/>
      <c r="G16" s="68"/>
      <c r="H16" s="68"/>
    </row>
    <row r="17" spans="1:8" ht="12.75" customHeight="1">
      <c r="A17" s="67" t="s">
        <v>188</v>
      </c>
      <c r="B17" s="67"/>
      <c r="C17" s="67"/>
      <c r="D17" s="67"/>
      <c r="E17" s="67"/>
      <c r="F17" s="67"/>
      <c r="G17" s="67"/>
      <c r="H17" s="67"/>
    </row>
    <row r="18" spans="1:8" ht="12.75" customHeight="1">
      <c r="A18" s="68" t="s">
        <v>189</v>
      </c>
      <c r="B18" s="68"/>
      <c r="C18" s="68"/>
      <c r="D18" s="68"/>
      <c r="E18" s="68"/>
      <c r="F18" s="68"/>
      <c r="G18" s="68"/>
      <c r="H18" s="68"/>
    </row>
    <row r="19" spans="1:8" ht="12.75" customHeight="1">
      <c r="A19" s="67"/>
      <c r="B19" s="67"/>
      <c r="C19" s="67"/>
      <c r="D19" s="67"/>
      <c r="E19" s="67"/>
      <c r="F19" s="67"/>
      <c r="G19" s="67"/>
      <c r="H19" s="67"/>
    </row>
    <row r="20" spans="1:8" ht="12.75" customHeight="1">
      <c r="A20" s="68"/>
      <c r="B20" s="68"/>
      <c r="C20" s="68"/>
      <c r="D20" s="68"/>
      <c r="E20" s="68"/>
      <c r="F20" s="68"/>
      <c r="G20" s="68"/>
      <c r="H20" s="68"/>
    </row>
  </sheetData>
  <mergeCells count="2">
    <mergeCell ref="E2:E4"/>
    <mergeCell ref="F2:F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Project Data</vt:lpstr>
      <vt:lpstr>Project Team</vt:lpstr>
      <vt:lpstr>Role Assignments</vt:lpstr>
      <vt:lpstr>Team Contract</vt:lpstr>
      <vt:lpstr>Product Goal</vt:lpstr>
      <vt:lpstr>Product Glossary</vt:lpstr>
      <vt:lpstr>Sprint Goals</vt:lpstr>
      <vt:lpstr>Velocity Tracking</vt:lpstr>
      <vt:lpstr>Mid-Project Release plan</vt:lpstr>
      <vt:lpstr>Final Project Release plan</vt:lpstr>
      <vt:lpstr>Definition of Done</vt:lpstr>
      <vt:lpstr>Documentation</vt:lpstr>
      <vt:lpstr>Bill of Materials</vt:lpstr>
      <vt:lpstr>Planning Poker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Fritz</dc:creator>
  <cp:lastModifiedBy>Fritz, Josefina</cp:lastModifiedBy>
  <dcterms:created xsi:type="dcterms:W3CDTF">2026-10-14T17:48:40Z</dcterms:created>
  <dcterms:modified xsi:type="dcterms:W3CDTF">2026-10-14T17:48:40Z</dcterms:modified>
</cp:coreProperties>
</file>