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4"/>
    <sheet state="visible" name="Project Team" sheetId="2" r:id="rId5"/>
    <sheet state="visible" name="Role Assignments" sheetId="3" r:id="rId6"/>
    <sheet state="visible" name="Team Contract" sheetId="4" r:id="rId7"/>
    <sheet state="visible" name="Product Goal" sheetId="5" r:id="rId8"/>
    <sheet state="visible" name="Product Glossary" sheetId="6" r:id="rId9"/>
    <sheet state="visible" name="Sprint Goals" sheetId="7" r:id="rId10"/>
    <sheet state="visible" name="Velocity Tracking" sheetId="8" r:id="rId11"/>
    <sheet state="visible" name="Mid-Project Release plan" sheetId="9" r:id="rId12"/>
    <sheet state="visible" name="Final Project Release plan" sheetId="10" r:id="rId13"/>
    <sheet state="visible" name="Definition of Done" sheetId="11" r:id="rId14"/>
    <sheet state="visible" name="Documentation" sheetId="12" r:id="rId15"/>
    <sheet state="visible" name="Bill of Materials" sheetId="13" r:id="rId16"/>
    <sheet state="visible" name="(Draft) Bill of Materials" sheetId="14" r:id="rId17"/>
    <sheet state="visible" name="Planning Poker" sheetId="15" r:id="rId18"/>
  </sheets>
  <definedNames/>
  <calcPr/>
</workbook>
</file>

<file path=xl/sharedStrings.xml><?xml version="1.0" encoding="utf-8"?>
<sst xmlns="http://schemas.openxmlformats.org/spreadsheetml/2006/main" count="610" uniqueCount="306">
  <si>
    <t>Project Name</t>
  </si>
  <si>
    <t>Last Name</t>
  </si>
  <si>
    <t>First Name</t>
  </si>
  <si>
    <t>AI-Assisted Legacy Migration Knowledge Base</t>
  </si>
  <si>
    <t>GitHub User Name</t>
  </si>
  <si>
    <t>Email Address</t>
  </si>
  <si>
    <t>Fritz</t>
  </si>
  <si>
    <t>Josefina</t>
  </si>
  <si>
    <t>Online team meeting</t>
  </si>
  <si>
    <t>https://github.com/Josefinafr</t>
  </si>
  <si>
    <t>https://fau.zoom-x.de/j/68356420940?pwd=yD6DYSba2jI1DTVMOvI3JmRchu9TuY.1</t>
  </si>
  <si>
    <t>Goals</t>
  </si>
  <si>
    <t>josefina.fritz@fau.de</t>
  </si>
  <si>
    <t>Barriga Vasquez</t>
  </si>
  <si>
    <t>Fernando</t>
  </si>
  <si>
    <t>https://github.com/fbarquez</t>
  </si>
  <si>
    <t>f.barriga.vasquez@campus.tu-berlin.de</t>
  </si>
  <si>
    <t>Sternberg</t>
  </si>
  <si>
    <t>Fiona</t>
  </si>
  <si>
    <t>https://github.com/Faoilthiama</t>
  </si>
  <si>
    <t>-        Develop a useable and useful Prototype
-        Prototype should be compatible with MIT Software Licenses
-        Meet Requirements (that we don’t know yet) from our industry partner
-        A good Teamwork
-        A Demo Version of the Prototype on Demo-day
-        Keep the Project realistic
-        Prototype should be easily demonstratable on Demo-day - Preferably locally testable (Ollama)</t>
  </si>
  <si>
    <t>Production system (if any)</t>
  </si>
  <si>
    <t>...</t>
  </si>
  <si>
    <t>Meeting norms</t>
  </si>
  <si>
    <t>Test system (if any)</t>
  </si>
  <si>
    <t>GitHub repository</t>
  </si>
  <si>
    <t xml:space="preserve">-	Meetings will be held in English
-	Be on time and come prepared &gt; Punishments 
-	Camera should be turned on (If it goes)
-	Let everyone speak and respect opinions and boundaries
-	If you are sick write a quick chat on WhatsApp and write the Professor
</t>
  </si>
  <si>
    <t>https://github.com/amosproj/amos2026ws01-legacy-migrator</t>
  </si>
  <si>
    <t>Working norms</t>
  </si>
  <si>
    <t>fiona.sternberg@fau.de</t>
  </si>
  <si>
    <t>Afzal Yousuf</t>
  </si>
  <si>
    <t xml:space="preserve">Ali </t>
  </si>
  <si>
    <t>https://github.com/3liAf</t>
  </si>
  <si>
    <t>-        Ask for help if needed / Be helpful to others
-        Are you sick or unable to end your sprint work please let the POs know
-        AI Assistant Coding: Developer self should Review it first and the make a pull request
-        if AI used for git commit messages: PROPERLY Double check and remove "co-authored by Claude / etc."
- Suggestion from Dirk Riehle: Required Review (If you create a merge request, you must review at least one another merge request)
-        When AI Agents are used: Create a system prompt file (for example .Vscode/copilot-instructions.md for GitHub-Copilot ) and write down our coding norms there so that the AI adheres to them
-        Main Branch just touchable by the Release Manager that week – by Pull Request from Dev Branch
-        Dev branches with split branches (Title of backlog) – Pull request needs to be review
-        Breaking Change/Bugs handled by Release Manager and the one who caused it
-        Dirk Riehle said that collaborative coding must be annotated with a "Co-authored-by: Firstname Lastname &lt;uni-email@uni.de&gt;" at the end of a git commit message, one line per coworker. "Assigned to ..." flags on GitHub Projects work items will probably not be graded
-        Ensure local, easy reproducability and testability during development, right from the start. This is done by writing setup and start scripts, where it is necessary (instead of executing a module with long config files and 2329 env variables)
-        We all push into the develop branch then the release manager merges this then with the main branch</t>
  </si>
  <si>
    <t>Coordination norms</t>
  </si>
  <si>
    <t>ali.yousuf@fau.de</t>
  </si>
  <si>
    <t>-        Planning Board Coordination
-        If you disagree about smth - discuss it with each other first via Discord/WA and maybe bring it with you to the team meeting session
-        Never move feature to "Feature Archive" (Finished) column without a review in "Awaiting Review" column first
-        When you assign someone else to a feature, notify them explicitly WhatsApp</t>
  </si>
  <si>
    <t>GitHub feature board</t>
  </si>
  <si>
    <t>Pohlitz</t>
  </si>
  <si>
    <t>https://github.com/orgs/amosproj/projects/109</t>
  </si>
  <si>
    <t>Communication norms</t>
  </si>
  <si>
    <t>Paul</t>
  </si>
  <si>
    <t>https://github.com/ppohlitze</t>
  </si>
  <si>
    <t xml:space="preserve">-        We set up a Discord Server
-        WhatsApp as main Communication Form
-        Happy Go Lucky: for twice a week Standup Email SDs (weekly for POs, SM)
-        Email with Wolfgang run by Fernando and Josefina
-        Feel free to text privately on WhatsApp if stuff comes up
</t>
  </si>
  <si>
    <t>Consideration norms</t>
  </si>
  <si>
    <t>Product Owner</t>
  </si>
  <si>
    <t>-        Be patient – language differences, not same level of programming exp
-        respect each other’s time
-        Be nice and kind to each other
-        Be open to constructive feedback and focus on solving problems rather than blaming each other 
-        In planning poker always considere your peers thez might not have the same knowledge as you have</t>
  </si>
  <si>
    <t>GitHub imp-squared backlog</t>
  </si>
  <si>
    <t>Cont. improvement norms</t>
  </si>
  <si>
    <t>https://github.com/orgs/amosproj/projects/113/views/1</t>
  </si>
  <si>
    <t>-       No automating push into main and dev branch
-       Feature branch are named after tickets 
-       After issue is resolved the feature branch for the ticket won’t be deleted
-       Merge requests shall not be reviewed automatically
-       Everybody gets informed about resolved pull requests -Maybe leave a message on WA
-       If there is any issue that has to be resolved immediately find a time to talk together on Discord
-       Build process create a useful artefact - Artefacts are stored on Github
-       Vertical slices workstream</t>
  </si>
  <si>
    <t>Rewards</t>
  </si>
  <si>
    <t>#</t>
  </si>
  <si>
    <t>p.pohlitz@campus.tu-berlin.de</t>
  </si>
  <si>
    <t>Rubins</t>
  </si>
  <si>
    <t>Adrians</t>
  </si>
  <si>
    <t>Meeting Day</t>
  </si>
  <si>
    <t>https://github.com/AdriansRubins</t>
  </si>
  <si>
    <t xml:space="preserve">-	Get a T-shirt
-	Get a good grade
-	Online Celebration
-	Small Celebration for every release
-	A good Linkdin Profil : “What AMOS project taught me about B2B SAAS this week”
</t>
  </si>
  <si>
    <t>Review</t>
  </si>
  <si>
    <t>Sanctions</t>
  </si>
  <si>
    <t>Planning</t>
  </si>
  <si>
    <t>Position of T-shirt logo</t>
  </si>
  <si>
    <t>Software Developer</t>
  </si>
  <si>
    <t>Release Manager</t>
  </si>
  <si>
    <t>Scrum Master</t>
  </si>
  <si>
    <t>Comment</t>
  </si>
  <si>
    <r>
      <rPr>
        <rFont val="arial, sans, sans-serif"/>
      </rPr>
      <t xml:space="preserve">-	If you’re late to a team meeting, you have to dance when you join.
-	If you have to complete a penalty, you can choose to dance or sing.
-	</t>
    </r>
    <r>
      <rPr>
        <rFont val="arial, sans, sans-serif"/>
        <color rgb="FF1155CC"/>
        <u/>
      </rPr>
      <t>https://allkaraoke.party/game/?playlist=English&amp;song=radiohead-creep</t>
    </r>
  </si>
  <si>
    <t>Upper Torso Right Small</t>
  </si>
  <si>
    <t>Link to logo for black T-shirt</t>
  </si>
  <si>
    <t>il4707fu@zedat.fu-berlin.de</t>
  </si>
  <si>
    <t>https://github.com/amosproj/amos2026ws01-legacy-migrator/blob/main/Deliverables/sprint-01/team-logo-blackTshirt.png</t>
  </si>
  <si>
    <t>Kiesel</t>
  </si>
  <si>
    <t>Everyone else</t>
  </si>
  <si>
    <t>N/A</t>
  </si>
  <si>
    <t>https://github.com/nudelisidle</t>
  </si>
  <si>
    <t>Link to logo for white T-shirt</t>
  </si>
  <si>
    <t>https://github.com/amosproj/amos2026ws01-legacy-migrator/blob/main/Deliverables/sprint-01/team-logo-whiteTshirt.png</t>
  </si>
  <si>
    <t>paul.kiesel@fau.de</t>
  </si>
  <si>
    <t>Ahm</t>
  </si>
  <si>
    <t>Raihan</t>
  </si>
  <si>
    <t>https://github.com/RaihanFAU</t>
  </si>
  <si>
    <t>Additional materials</t>
  </si>
  <si>
    <t>ahm.raihan@fau.de</t>
  </si>
  <si>
    <t>Marques</t>
  </si>
  <si>
    <t>Team maling list</t>
  </si>
  <si>
    <t>Rafael</t>
  </si>
  <si>
    <t>oss-amos-proj1@lists.fau.de</t>
  </si>
  <si>
    <t>https://github.com/RafaelMcMarques</t>
  </si>
  <si>
    <t>Signatures</t>
  </si>
  <si>
    <t>rafael.mc.marques@fau.de</t>
  </si>
  <si>
    <t>Product owner</t>
  </si>
  <si>
    <t xml:space="preserve">Fernando </t>
  </si>
  <si>
    <t>Software developer</t>
  </si>
  <si>
    <t>Paul K.</t>
  </si>
  <si>
    <t>Ali</t>
  </si>
  <si>
    <t xml:space="preserve">Adrian </t>
  </si>
  <si>
    <t>Paul P.</t>
  </si>
  <si>
    <t>Mid-term due</t>
  </si>
  <si>
    <t>Product Vision</t>
  </si>
  <si>
    <t>Project Mission</t>
  </si>
  <si>
    <t>Enable software teams to migrate legacy systems with confidence by providing a persistent, connected knowledge base of legacy code, target code, domain knowledge and system dependencies. Through natural-language queries and up-to-date architecture views, teams can understand migration progress, preserve essential knowledge and make informed decisions about what to migrate or decommission next.</t>
  </si>
  <si>
    <t>Term</t>
  </si>
  <si>
    <t>Definition</t>
  </si>
  <si>
    <t>Develop and validate a prototype during the AMOS semester using a shareable reference project with a realistic migration history. Evaluate existing analysis tools, connect relevant information in a knowledge graph and demonstrate reliable natural-language answers about at least one migration step. Agree on measurable success criteria with the industry partner and define the scope of generated architecture views.</t>
  </si>
  <si>
    <t>Legacy System</t>
  </si>
  <si>
    <t>The existing software system whose functionality is gradually migrated to a new system. Some components remain active during the transition.</t>
  </si>
  <si>
    <t>Target System</t>
  </si>
  <si>
    <t>The new system that gradually replaces legacy functionality. Its actual code is analysed to distinguish implemented functionality from planned work.</t>
  </si>
  <si>
    <t>Knowledge Base</t>
  </si>
  <si>
    <t>A persistent, versioned collection of connected information about legacy code, target code, domain knowledge and migration dependencies.</t>
  </si>
  <si>
    <t>Knowledge Graph</t>
  </si>
  <si>
    <t>A representation of information as nodes and relationships, connecting elements such as code components, bounded contexts and dependencies.</t>
  </si>
  <si>
    <t>Abstract Syntax Tree (AST)</t>
  </si>
  <si>
    <t>A structured representation of source code used to analyse elements such as classes, methods and fields.</t>
  </si>
  <si>
    <t>Domain Model</t>
  </si>
  <si>
    <t>A structured description of the business domain, including bounded contexts, business terminology, rules and events.</t>
  </si>
  <si>
    <t>Bounded Context</t>
  </si>
  <si>
    <t>A defined business boundary within which a particular domain model and its terminology apply. It can be linked to its implementations in both systems.</t>
  </si>
  <si>
    <t>Ubiquitous Language</t>
  </si>
  <si>
    <t>The shared business vocabulary used by domain experts and developers within a bounded context.</t>
  </si>
  <si>
    <t>Coupling</t>
  </si>
  <si>
    <t>A dependency between components or systems, such as direct calls, shared database tables or messaging routes. Remaining coupling can affect decommissioning decisions.</t>
  </si>
  <si>
    <t>Decommissioning</t>
  </si>
  <si>
    <t>Taking a legacy component out of operation after its functionality and remaining dependencies have been addressed.</t>
  </si>
  <si>
    <t>Strangler Fig Migration</t>
  </si>
  <si>
    <t>An incremental migration approach in which a new system gradually replaces the legacy system through parallel operation, completion and decommissioning.</t>
  </si>
  <si>
    <t>Deterministic Ingestion</t>
  </si>
  <si>
    <t>The stage that extracts and stores structural facts, such as code relationships and deployment information, without using an LLM.</t>
  </si>
  <si>
    <t>LLM-Based Comprehension</t>
  </si>
  <si>
    <t>The stage in which a large language model generates summaries and explanations from ingested information and stores them in the knowledge base.</t>
  </si>
  <si>
    <t>Retrieval-Augmented Generation (RAG)</t>
  </si>
  <si>
    <t>An approach that retrieves relevant knowledge-base information to support an LLM’s answer to a user’s question.</t>
  </si>
  <si>
    <t>arc42</t>
  </si>
  <si>
    <t>An architecture documentation framework. The project specifically targets its context, building block and deployment views.</t>
  </si>
  <si>
    <t>Context View</t>
  </si>
  <si>
    <t>An architecture view showing the system boundary, external actors, neighbouring systems and their interfaces.</t>
  </si>
  <si>
    <t>Building Block View</t>
  </si>
  <si>
    <t>An architecture view showing the static structure of components, services or modules. In this project, it shows legacy and target elements together with their status.</t>
  </si>
  <si>
    <t>Deployment View</t>
  </si>
  <si>
    <t>An architecture view showing where components run and how they connect through infrastructure such as databases and messaging systems.</t>
  </si>
  <si>
    <t>Synthetic Reference System</t>
  </si>
  <si>
    <t>A shareable example system with realistic migration scenarios, used to develop and validate the prototype without confidential client code or data.</t>
  </si>
  <si>
    <t>Migration Step</t>
  </si>
  <si>
    <t>A defined stage in the reference system’s migration history. Comparing consecutive steps reveals changes to code, deployments and dependencies.</t>
  </si>
  <si>
    <t>Minimum Viable Product (MVP)</t>
  </si>
  <si>
    <t>The initial prototype scope agreed with the industry partner. The kickoff discussion identifies answering natural-language questions about at least one migration step as the minimum goal.</t>
  </si>
  <si>
    <t>Sprint #</t>
  </si>
  <si>
    <t>Sprint goal</t>
  </si>
  <si>
    <t>Demo day!</t>
  </si>
  <si>
    <t>United Understanding</t>
  </si>
  <si>
    <t>Retrospective</t>
  </si>
  <si>
    <t>None</t>
  </si>
  <si>
    <t>Product owners, software developers, and Scurm Master are set and ideally don't change over time; the critical part is the Release Manager role you need to define here</t>
  </si>
  <si>
    <t>Story Points Realized</t>
  </si>
  <si>
    <t>Optional</t>
  </si>
  <si>
    <t>Write your sprint goal here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</si>
  <si>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</si>
  <si>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</si>
  <si>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</si>
  <si>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</si>
  <si>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</si>
  <si>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</si>
  <si>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</si>
  <si>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</si>
  <si>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</si>
  <si>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PLEASE CREATE THE VELOCITY CHART ON A NEW TAB USING THE DATA FROM THIS TAB</t>
  </si>
  <si>
    <t>Sprints</t>
  </si>
  <si>
    <t>Estimated burn-down</t>
  </si>
  <si>
    <t>Real burn-down</t>
  </si>
  <si>
    <t>Type</t>
  </si>
  <si>
    <t>Link / reference</t>
  </si>
  <si>
    <t>Feature Definition of Done</t>
  </si>
  <si>
    <t>Sprint Release Definition of Done</t>
  </si>
  <si>
    <t>Project Release Definition of Done</t>
  </si>
  <si>
    <t>Features</t>
  </si>
  <si>
    <t>Context</t>
  </si>
  <si>
    <t>Name</t>
  </si>
  <si>
    <t>Version</t>
  </si>
  <si>
    <t>Licence (SPDX)</t>
  </si>
  <si>
    <t>Component</t>
  </si>
  <si>
    <t>Supplier</t>
  </si>
  <si>
    <t>Notes</t>
  </si>
  <si>
    <t>python</t>
  </si>
  <si>
    <t>container</t>
  </si>
  <si>
    <t>Python Software Foundation</t>
  </si>
  <si>
    <t>Base image for pipeline and MCP server; code-review-graph needs Python &gt;= 3.10</t>
  </si>
  <si>
    <t>git</t>
  </si>
  <si>
    <t>application</t>
  </si>
  <si>
    <t>unpinned (resolve at first lockfile)</t>
  </si>
  <si>
    <t>Git project</t>
  </si>
  <si>
    <t>Host/base-image tool for git worktree checkouts; invoked as a separate process, not linked or modified</t>
  </si>
  <si>
    <t>code-review-graph</t>
  </si>
  <si>
    <t>library</t>
  </si>
  <si>
    <t>2.3.9</t>
  </si>
  <si>
    <t>Tirth (tirth8205)</t>
  </si>
  <si>
    <t>Primary structural extractor (PyPI release 18 Sep 2026)</t>
  </si>
  <si>
    <t>sqlglot</t>
  </si>
  <si>
    <t>30.22.0</t>
  </si>
  <si>
    <t>Toby Mao and contributors</t>
  </si>
  <si>
    <t>SQL read/write extraction (release 9 Oct 2026)</t>
  </si>
  <si>
    <t>atlassian-python-api</t>
  </si>
  <si>
    <t>PLEASE CREATE THE BURNDOWN CHART ON A NEW TAB USING THE DATA FROM THIS TAB</t>
  </si>
  <si>
    <t>5.0.5</t>
  </si>
  <si>
    <t>atlassian-api community (not Atlassian)</t>
  </si>
  <si>
    <t>Jira and Confluence connectors (Cloud and Server/DC); licence V, version from docs (S)</t>
  </si>
  <si>
    <t>markdown-it-py</t>
  </si>
  <si>
    <t>Executable Books</t>
  </si>
  <si>
    <t>Markdown parsing (headings, links, code spans)</t>
  </si>
  <si>
    <t>markdownify</t>
  </si>
  <si>
    <t>Matthew Tretter and contributors</t>
  </si>
  <si>
    <t>PSF-2.0</t>
  </si>
  <si>
    <t>Confluence storage format (XHTML) to markdown</t>
  </si>
  <si>
    <t>mcp</t>
  </si>
  <si>
    <t>Model Context Protocol project</t>
  </si>
  <si>
    <t>MCP tool server SDK</t>
  </si>
  <si>
    <t>pydantic</t>
  </si>
  <si>
    <t>Pydantic Services Inc. and contributors</t>
  </si>
  <si>
    <t>Canonical fact schema and validation</t>
  </si>
  <si>
    <t>GPL-2.0-only</t>
  </si>
  <si>
    <t>ollama (Python client)</t>
  </si>
  <si>
    <t>Ollama Inc.</t>
  </si>
  <si>
    <t>Chat and embedding calls to the local model runtime</t>
  </si>
  <si>
    <t>repowise</t>
  </si>
  <si>
    <t>0.58.0</t>
  </si>
  <si>
    <t>MIT</t>
  </si>
  <si>
    <t>repowise-dev</t>
  </si>
  <si>
    <t>Second extractor: workspaces and cross-repo contracts. Disable telemetry (opt-out). Version observed on PyPI earlier in the survey</t>
  </si>
  <si>
    <t>neo4j (Python driver)</t>
  </si>
  <si>
    <t>Neo4j Inc.</t>
  </si>
  <si>
    <t>Loader and MCP queries</t>
  </si>
  <si>
    <t>PyDriller</t>
  </si>
  <si>
    <t>Davide Spadini and contributors</t>
  </si>
  <si>
    <t>Git history mining (commits, changed files, issue keys)</t>
  </si>
  <si>
    <t>ollama</t>
  </si>
  <si>
    <t>Apache-2.0</t>
  </si>
  <si>
    <t>0.40.9</t>
  </si>
  <si>
    <t>Local LLM runtime. Sources disagree on latest (0.40.5 / 0.40.9 / 0.40.10); pinned 0.40.9. Cloud features must be disabled (offline configuration)</t>
  </si>
  <si>
    <t>LibreChat</t>
  </si>
  <si>
    <t>0.8.8</t>
  </si>
  <si>
    <t>LibreChat (Danny Avila and contributors)</t>
  </si>
  <si>
    <t>Chat UI (release 1 Oct 2026). Verify compose services at lock time</t>
  </si>
  <si>
    <t>FerretDB</t>
  </si>
  <si>
    <t>2.x (unpinned (resolve at first lockfile))</t>
  </si>
  <si>
    <t>FerretDB Inc.</t>
  </si>
  <si>
    <t>Replaces MongoDB (SSPL) as LibreChat's document store</t>
  </si>
  <si>
    <t>DocumentDB PostgreSQL extension</t>
  </si>
  <si>
    <t>Microsoft</t>
  </si>
  <si>
    <t>Backend required by FerretDB 2.x; licence to verify</t>
  </si>
  <si>
    <t>PostgreSQL</t>
  </si>
  <si>
    <t>17 (minor unpinned (resolve at first lockfile))</t>
  </si>
  <si>
    <t>PostgreSQL Global Development Group</t>
  </si>
  <si>
    <t>Backend for FerretDB (both visions); in Vision A also graph + vector store</t>
  </si>
  <si>
    <t>Neo4j Community Edition</t>
  </si>
  <si>
    <t>calendar version unpinned (resolve at first lockfile)</t>
  </si>
  <si>
    <t>Graph store and vector index; run unmodified as a separate server</t>
  </si>
  <si>
    <t>code-maat</t>
  </si>
  <si>
    <t>Value</t>
  </si>
  <si>
    <t>Adam Tornhill</t>
  </si>
  <si>
    <t>Co-change coupling, run as a separate JVM process; optional input</t>
  </si>
  <si>
    <t>gpt-oss-20b</t>
  </si>
  <si>
    <t>machine-learning-model</t>
  </si>
  <si>
    <t>revision unpinned (resolve at first lockfile)</t>
  </si>
  <si>
    <t>OpenAI</t>
  </si>
  <si>
    <t>Chat model; Apache-2.0 plus the gpt-oss usage policy</t>
  </si>
  <si>
    <t>Qwen3-Embedding-0.6B</t>
  </si>
  <si>
    <t>Qwen team, Alibaba Cloud</t>
  </si>
  <si>
    <t>Embedding model; check licence on the model card (Qwen licences differ per checkpoint)</t>
  </si>
  <si>
    <t>pytest</t>
  </si>
  <si>
    <t>pytest-dev</t>
  </si>
  <si>
    <t>Dev-only: tests (DoD)</t>
  </si>
  <si>
    <t>asyncpg</t>
  </si>
  <si>
    <t>cyclonedx-bom (cyclonedx-py)</t>
  </si>
  <si>
    <t>PostgreSQL driver; chosen instead of psycopg (LGPL-3.0) to keep Vision A permissive. AGE is queried via SQL cypher() calls, not the psycopg-based AGE driver</t>
  </si>
  <si>
    <t>OWASP CycloneDX</t>
  </si>
  <si>
    <t>Dev-only: generates the build SBOM from the lockfile</t>
  </si>
  <si>
    <t>syft</t>
  </si>
  <si>
    <t>Anchore</t>
  </si>
  <si>
    <t>Dev-only: SBOM for container images</t>
  </si>
  <si>
    <t>pip-licenses</t>
  </si>
  <si>
    <t>raimon49</t>
  </si>
  <si>
    <t>Dev-only: licence gate in CI</t>
  </si>
  <si>
    <t>MongoDB Community</t>
  </si>
  <si>
    <t>-</t>
  </si>
  <si>
    <t>MongoDB Inc.</t>
  </si>
  <si>
    <t>Default LibreChat store; excluded (non-OSI), replaced by FerretDB</t>
  </si>
  <si>
    <t>Meilisearch</t>
  </si>
  <si>
    <t>Meili SAS</t>
  </si>
  <si>
    <t>Optional LibreChat search; disabled</t>
  </si>
  <si>
    <t>Apache AGE</t>
  </si>
  <si>
    <t>1.7.0 (PG17)</t>
  </si>
  <si>
    <t>Graph extension (openCypher) for PostgreSQL 17</t>
  </si>
  <si>
    <t>pgvector</t>
  </si>
  <si>
    <t>Vector index in PostgreSQL</t>
  </si>
  <si>
    <t>SSPL-1.0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</si>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</sst>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17">
    <font>
      <sz val="10.0"/>
      <color rgb="FF000000"/>
      <name val="Arial"/>
    </font>
    <font>
      <b/>
    </font>
    <font/>
    <font>
      <b/>
      <u/>
      <color rgb="FF0000FF"/>
    </font>
    <font>
      <b/>
      <name val="Arial"/>
    </font>
    <font>
      <name val="Arial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'Courier New'"/>
    </font>
    <font>
      <u/>
      <color rgb="FF0000FF"/>
      <name val="Arial"/>
    </font>
    <font>
      <sz val="11.0"/>
    </font>
    <font>
      <color rgb="FFFFFFFF"/>
      <name val="Arial"/>
    </font>
    <font>
      <b/>
      <sz val="11.0"/>
      <color rgb="FFBBBEBF"/>
      <name val="-apple-system"/>
    </font>
    <font>
      <sz val="11.0"/>
      <color rgb="FFBBBEBF"/>
      <name val="-apple-system"/>
    </font>
    <font>
      <sz val="11.0"/>
      <color rgb="FFBBBEBF"/>
      <name val="Arial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BDBDBD"/>
        <bgColor rgb="FFBDBDBD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3">
    <border/>
    <border>
      <bottom style="thin">
        <color rgb="FFFFFFFF"/>
      </bottom>
    </border>
    <border>
      <top style="thin">
        <color rgb="FFFFFFFF"/>
      </top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2" fontId="4" numFmtId="0" xfId="0" applyAlignment="1" applyFill="1" applyFont="1">
      <alignment shrinkToFit="0" vertical="bottom" wrapText="1"/>
    </xf>
    <xf borderId="0" fillId="2" fontId="5" numFmtId="0" xfId="0" applyAlignment="1" applyFill="1" applyFont="1">
      <alignment readingOrder="0" shrinkToFit="0" vertical="bottom" wrapText="1"/>
    </xf>
    <xf borderId="0" fillId="3" fontId="5" numFmtId="0" xfId="0" applyAlignment="1" applyFill="1" applyFont="1">
      <alignment shrinkToFit="0" vertical="bottom" wrapText="1"/>
    </xf>
    <xf borderId="0" fillId="0" fontId="6" numFmtId="0" xfId="0" applyAlignment="1" applyFont="1">
      <alignment readingOrder="0" shrinkToFit="0" wrapText="1"/>
    </xf>
    <xf borderId="0" fillId="3" fontId="5" numFmtId="0" xfId="0" applyAlignment="1" applyFill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2" fontId="4" numFmtId="0" xfId="0" applyAlignment="1" applyFill="1" applyFont="1">
      <alignment readingOrder="0" shrinkToFit="0" vertical="bottom" wrapText="1"/>
    </xf>
    <xf borderId="0" fillId="2" fontId="5" numFmtId="0" xfId="0" applyAlignment="1" applyFill="1" applyFont="1">
      <alignment shrinkToFit="0" vertical="bottom" wrapText="1"/>
    </xf>
    <xf borderId="0" fillId="0" fontId="7" numFmtId="0" xfId="0" applyAlignment="1" applyFont="1">
      <alignment readingOrder="0" shrinkToFit="0" wrapText="1"/>
    </xf>
    <xf borderId="0" fillId="4" fontId="1" numFmtId="0" xfId="0" applyAlignment="1" applyFill="1" applyFont="1">
      <alignment horizontal="center" readingOrder="0" shrinkToFit="0" wrapText="0"/>
    </xf>
    <xf borderId="0" fillId="3" fontId="5" numFmtId="0" xfId="0" applyAlignment="1" applyFill="1" applyFont="1">
      <alignment shrinkToFit="0" vertical="bottom" wrapText="1"/>
    </xf>
    <xf borderId="0" fillId="4" fontId="1" numFmtId="0" xfId="0" applyAlignment="1" applyFill="1" applyFont="1">
      <alignment horizontal="center" shrinkToFit="0" wrapText="0"/>
    </xf>
    <xf borderId="0" fillId="2" fontId="4" numFmtId="0" xfId="0" applyAlignment="1" applyFill="1" applyFont="1">
      <alignment shrinkToFit="0" vertical="bottom" wrapText="1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horizontal="left" readingOrder="0" shrinkToFit="0" wrapText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3" fontId="10" numFmtId="0" xfId="0" applyAlignment="1" applyFill="1" applyFont="1">
      <alignment readingOrder="0" shrinkToFit="0" vertical="bottom" wrapText="1"/>
    </xf>
    <xf borderId="0" fillId="0" fontId="2" numFmtId="164" xfId="0" applyAlignment="1" applyFont="1" applyNumberFormat="1">
      <alignment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wrapText="0"/>
    </xf>
    <xf borderId="0" fillId="4" fontId="1" numFmtId="0" xfId="0" applyAlignment="1" applyFill="1" applyFont="1">
      <alignment readingOrder="0" shrinkToFit="0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3" fontId="5" numFmtId="0" xfId="0" applyAlignment="1" applyFill="1" applyFont="1">
      <alignment readingOrder="0" shrinkToFit="0" vertical="top" wrapText="1"/>
    </xf>
    <xf borderId="0" fillId="0" fontId="1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165" xfId="0" applyAlignment="1" applyFont="1" applyNumberFormat="1">
      <alignment shrinkToFit="0" wrapText="0"/>
    </xf>
    <xf borderId="0" fillId="0" fontId="2" numFmtId="165" xfId="0" applyAlignment="1" applyFont="1" applyNumberFormat="1">
      <alignment horizontal="left" shrinkToFit="0" wrapText="0"/>
    </xf>
    <xf borderId="0" fillId="0" fontId="2" numFmtId="165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4" fontId="4" numFmtId="0" xfId="0" applyAlignment="1" applyFill="1" applyFont="1">
      <alignment horizontal="left" shrinkToFit="0" vertical="bottom" wrapText="1"/>
    </xf>
    <xf borderId="0" fillId="4" fontId="4" numFmtId="0" xfId="0" applyAlignment="1" applyFill="1" applyFont="1">
      <alignment shrinkToFit="0" vertical="bottom" wrapText="0"/>
    </xf>
    <xf borderId="0" fillId="4" fontId="4" numFmtId="0" xfId="0" applyAlignment="1" applyFill="1" applyFont="1">
      <alignment shrinkToFit="0" vertical="bottom" wrapText="0"/>
    </xf>
    <xf borderId="0" fillId="0" fontId="2" numFmtId="0" xfId="0" applyAlignment="1" applyFont="1">
      <alignment horizontal="left" shrinkToFit="0" wrapText="1"/>
    </xf>
    <xf borderId="0" fillId="4" fontId="4" numFmtId="0" xfId="0" applyAlignment="1" applyFill="1" applyFont="1">
      <alignment horizontal="center" readingOrder="0" shrinkToFit="0" vertical="bottom" wrapText="1"/>
    </xf>
    <xf borderId="0" fillId="2" fontId="5" numFmtId="0" xfId="0" applyAlignment="1" applyFill="1" applyFont="1">
      <alignment horizontal="left" shrinkToFit="0" vertical="bottom" wrapText="1"/>
    </xf>
    <xf borderId="0" fillId="2" fontId="5" numFmtId="0" xfId="0" applyAlignment="1" applyFill="1" applyFont="1">
      <alignment shrinkToFit="0" vertical="bottom" wrapText="0"/>
    </xf>
    <xf borderId="0" fillId="5" fontId="4" numFmtId="0" xfId="0" applyAlignment="1" applyFill="1" applyFont="1">
      <alignment horizontal="left" shrinkToFit="0" vertical="bottom" wrapText="0"/>
    </xf>
    <xf borderId="0" fillId="5" fontId="5" numFmtId="0" xfId="0" applyAlignment="1" applyFill="1" applyFont="1">
      <alignment shrinkToFit="0" vertical="bottom" wrapText="0"/>
    </xf>
    <xf borderId="0" fillId="5" fontId="5" numFmtId="0" xfId="0" applyAlignment="1" applyFill="1" applyFont="1">
      <alignment shrinkToFit="0" vertical="bottom" wrapText="1"/>
    </xf>
    <xf borderId="0" fillId="3" fontId="4" numFmtId="0" xfId="0" applyAlignment="1" applyFill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6" fontId="1" numFmtId="0" xfId="0" applyAlignment="1" applyFill="1" applyFont="1">
      <alignment readingOrder="0" shrinkToFit="0" wrapText="1"/>
    </xf>
    <xf borderId="0" fillId="3" fontId="5" numFmtId="0" xfId="0" applyAlignment="1" applyFill="1" applyFont="1">
      <alignment horizontal="right" shrinkToFit="0" vertical="bottom" wrapText="0"/>
    </xf>
    <xf borderId="0" fillId="7" fontId="4" numFmtId="0" xfId="0" applyAlignment="1" applyFill="1" applyFont="1">
      <alignment horizontal="left" shrinkToFit="0" vertical="bottom" wrapText="0"/>
    </xf>
    <xf borderId="0" fillId="7" fontId="4" numFmtId="0" xfId="0" applyAlignment="1" applyFill="1" applyFont="1">
      <alignment shrinkToFit="0" vertical="bottom" wrapText="0"/>
    </xf>
    <xf borderId="0" fillId="7" fontId="5" numFmtId="0" xfId="0" applyAlignment="1" applyFill="1" applyFont="1">
      <alignment shrinkToFit="0" vertical="bottom" wrapText="1"/>
    </xf>
    <xf borderId="0" fillId="2" fontId="12" numFmtId="0" xfId="0" applyAlignment="1" applyFill="1" applyFont="1">
      <alignment horizontal="center" shrinkToFit="0" vertical="bottom" wrapText="0"/>
    </xf>
    <xf borderId="0" fillId="3" fontId="5" numFmtId="0" xfId="0" applyAlignment="1" applyFill="1" applyFont="1">
      <alignment horizontal="left" shrinkToFit="0" vertical="bottom" wrapText="1"/>
    </xf>
    <xf borderId="0" fillId="4" fontId="4" numFmtId="0" xfId="0" applyAlignment="1" applyFill="1" applyFont="1">
      <alignment shrinkToFit="0" vertical="bottom" wrapText="1"/>
    </xf>
    <xf borderId="0" fillId="2" fontId="5" numFmtId="0" xfId="0" applyAlignment="1" applyFill="1" applyFont="1">
      <alignment horizontal="right" shrinkToFit="0" vertical="bottom" wrapText="0"/>
    </xf>
    <xf borderId="0" fillId="4" fontId="4" numFmtId="0" xfId="0" applyAlignment="1" applyFill="1" applyFont="1">
      <alignment shrinkToFit="0" vertical="bottom" wrapText="1"/>
    </xf>
    <xf borderId="0" fillId="4" fontId="4" numFmtId="0" xfId="0" applyAlignment="1" applyFill="1" applyFont="1">
      <alignment readingOrder="0" shrinkToFit="0" vertical="bottom" wrapText="0"/>
    </xf>
    <xf borderId="0" fillId="7" fontId="4" numFmtId="0" xfId="0" applyAlignment="1" applyFill="1" applyFont="1">
      <alignment shrinkToFit="0" vertical="bottom" wrapText="0"/>
    </xf>
    <xf borderId="0" fillId="2" fontId="5" numFmtId="0" xfId="0" applyAlignment="1" applyFill="1" applyFont="1">
      <alignment horizontal="left" readingOrder="0" shrinkToFit="0" vertical="bottom" wrapText="1"/>
    </xf>
    <xf borderId="0" fillId="2" fontId="5" numFmtId="0" xfId="0" applyAlignment="1" applyFill="1" applyFont="1">
      <alignment shrinkToFit="0" vertical="bottom" wrapText="0"/>
    </xf>
    <xf borderId="0" fillId="8" fontId="4" numFmtId="0" xfId="0" applyAlignment="1" applyFill="1" applyFont="1">
      <alignment horizontal="left" shrinkToFit="0" vertical="bottom" wrapText="0"/>
    </xf>
    <xf borderId="0" fillId="8" fontId="4" numFmtId="0" xfId="0" applyAlignment="1" applyFill="1" applyFont="1">
      <alignment shrinkToFit="0" vertical="bottom" wrapText="0"/>
    </xf>
    <xf borderId="0" fillId="8" fontId="5" numFmtId="0" xfId="0" applyAlignment="1" applyFill="1" applyFont="1">
      <alignment shrinkToFit="0" vertical="bottom" wrapText="1"/>
    </xf>
    <xf borderId="0" fillId="2" fontId="4" numFmtId="0" xfId="0" applyAlignment="1" applyFill="1" applyFont="1">
      <alignment horizontal="left" shrinkToFit="0" vertical="bottom" wrapText="0"/>
    </xf>
    <xf borderId="0" fillId="2" fontId="4" numFmtId="0" xfId="0" applyAlignment="1" applyFill="1" applyFont="1">
      <alignment shrinkToFit="0" vertical="bottom" wrapText="0"/>
    </xf>
    <xf borderId="0" fillId="3" fontId="5" numFmtId="0" xfId="0" applyAlignment="1" applyFill="1" applyFont="1">
      <alignment shrinkToFit="0" vertical="bottom" wrapText="0"/>
    </xf>
    <xf borderId="0" fillId="2" fontId="5" numFmtId="0" xfId="0" applyAlignment="1" applyFill="1" applyFont="1">
      <alignment horizontal="right" shrinkToFit="0" vertical="bottom" wrapText="0"/>
    </xf>
    <xf borderId="0" fillId="2" fontId="5" numFmtId="0" xfId="0" applyAlignment="1" applyFill="1" applyFont="1">
      <alignment horizontal="left" shrinkToFit="0" vertical="bottom" wrapText="1"/>
    </xf>
    <xf borderId="1" fillId="0" fontId="13" numFmtId="0" xfId="0" applyAlignment="1" applyBorder="1" applyFont="1">
      <alignment horizontal="left" readingOrder="0" shrinkToFit="0" wrapText="1"/>
    </xf>
    <xf borderId="0" fillId="0" fontId="14" numFmtId="0" xfId="0" applyAlignment="1" applyFont="1">
      <alignment readingOrder="0" shrinkToFit="0" wrapText="1"/>
    </xf>
    <xf borderId="2" fillId="0" fontId="14" numFmtId="0" xfId="0" applyAlignment="1" applyBorder="1" applyFont="1">
      <alignment readingOrder="0" shrinkToFit="0" wrapText="1"/>
    </xf>
    <xf borderId="0" fillId="2" fontId="5" numFmtId="0" xfId="0" applyAlignment="1" applyFill="1" applyFont="1">
      <alignment shrinkToFit="0" vertical="bottom" wrapText="1"/>
    </xf>
    <xf borderId="0" fillId="6" fontId="1" numFmtId="0" xfId="0" applyAlignment="1" applyFill="1" applyFont="1">
      <alignment readingOrder="0" shrinkToFit="0" wrapText="0"/>
    </xf>
    <xf borderId="0" fillId="0" fontId="15" numFmtId="0" xfId="0" applyAlignment="1" applyFont="1">
      <alignment readingOrder="0" shrinkToFit="0" wrapText="1"/>
    </xf>
    <xf borderId="0" fillId="4" fontId="4" numFmtId="0" xfId="0" applyAlignment="1" applyFill="1" applyFont="1">
      <alignment shrinkToFit="0" vertical="center" wrapText="1"/>
    </xf>
    <xf borderId="0" fillId="4" fontId="4" numFmtId="0" xfId="0" applyAlignment="1" applyFill="1" applyFont="1">
      <alignment horizontal="center" shrinkToFit="0" vertical="center" wrapText="1"/>
    </xf>
    <xf borderId="0" fillId="4" fontId="4" numFmtId="4" xfId="0" applyAlignment="1" applyFill="1" applyFont="1" applyNumberFormat="1">
      <alignment shrinkToFit="0" vertical="center" wrapText="1"/>
    </xf>
    <xf borderId="0" fillId="4" fontId="5" numFmtId="4" xfId="0" applyAlignment="1" applyFill="1" applyFont="1" applyNumberFormat="1">
      <alignment shrinkToFit="0" vertical="center" wrapText="1"/>
    </xf>
    <xf borderId="0" fillId="4" fontId="5" numFmtId="0" xfId="0" applyAlignment="1" applyFill="1" applyFont="1">
      <alignment shrinkToFit="0" vertical="center" wrapText="1"/>
    </xf>
    <xf borderId="0" fillId="4" fontId="1" numFmtId="0" xfId="0" applyAlignment="1" applyFill="1" applyFont="1">
      <alignment shrinkToFit="0" vertical="center" wrapText="1"/>
    </xf>
    <xf borderId="0" fillId="2" fontId="4" numFmtId="0" xfId="0" applyAlignment="1" applyFill="1" applyFont="1">
      <alignment shrinkToFit="0" vertical="center" wrapText="1"/>
    </xf>
    <xf borderId="0" fillId="6" fontId="5" numFmtId="0" xfId="0" applyAlignment="1" applyFill="1" applyFont="1">
      <alignment horizontal="center" readingOrder="0" shrinkToFit="0" vertical="center" wrapText="1"/>
    </xf>
    <xf borderId="0" fillId="2" fontId="5" numFmtId="4" xfId="0" applyAlignment="1" applyFill="1" applyFont="1" applyNumberFormat="1">
      <alignment shrinkToFit="0" vertical="center" wrapText="1"/>
    </xf>
    <xf borderId="2" fillId="0" fontId="15" numFmtId="0" xfId="0" applyAlignment="1" applyBorder="1" applyFont="1">
      <alignment readingOrder="0" shrinkToFit="0" wrapText="1"/>
    </xf>
    <xf borderId="0" fillId="8" fontId="16" numFmtId="4" xfId="0" applyAlignment="1" applyFill="1" applyFont="1" applyNumberFormat="1">
      <alignment horizontal="center" shrinkToFit="0" vertical="center" wrapText="1"/>
    </xf>
    <xf borderId="0" fillId="8" fontId="16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shrinkToFit="0" vertical="center" wrapText="1"/>
    </xf>
    <xf borderId="0" fillId="3" fontId="4" numFmtId="0" xfId="0" applyAlignment="1" applyFill="1" applyFont="1">
      <alignment shrinkToFit="0" vertical="center" wrapText="1"/>
    </xf>
    <xf borderId="0" fillId="3" fontId="5" numFmtId="4" xfId="0" applyAlignment="1" applyFill="1" applyFont="1" applyNumberFormat="1">
      <alignment shrinkToFit="0" vertical="center" wrapText="1"/>
    </xf>
    <xf borderId="0" fillId="3" fontId="2" numFmtId="0" xfId="0" applyAlignment="1" applyFill="1" applyFont="1">
      <alignment shrinkToFit="0" vertical="center" wrapText="1"/>
    </xf>
    <xf borderId="0" fillId="6" fontId="5" numFmtId="0" xfId="0" applyAlignment="1" applyFill="1" applyFont="1">
      <alignment horizontal="center" shrinkToFit="0" vertical="center" wrapText="1"/>
    </xf>
    <xf borderId="0" fillId="0" fontId="14" numFmtId="0" xfId="0" applyAlignment="1" applyFont="1">
      <alignment shrinkToFit="0" wrapText="1"/>
    </xf>
    <xf borderId="0" fillId="3" fontId="5" numFmtId="0" xfId="0" applyAlignment="1" applyFill="1" applyFont="1">
      <alignment shrinkToFit="0" vertical="center" wrapText="1"/>
    </xf>
    <xf borderId="0" fillId="2" fontId="5" numFmtId="0" xfId="0" applyAlignment="1" applyFill="1" applyFont="1">
      <alignment shrinkToFit="0" vertical="center" wrapText="1"/>
    </xf>
    <xf borderId="0" fillId="7" fontId="5" numFmtId="0" xfId="0" applyAlignment="1" applyFill="1" applyFont="1">
      <alignment horizontal="center" shrinkToFit="0" vertical="center" wrapText="1"/>
    </xf>
    <xf borderId="0" fillId="7" fontId="5" numFmtId="0" xfId="0" applyAlignment="1" applyFill="1" applyFont="1">
      <alignment readingOrder="0" shrinkToFit="0" vertical="center" wrapText="1"/>
    </xf>
    <xf borderId="0" fillId="2" fontId="1" numFmtId="0" xfId="0" applyAlignment="1" applyFill="1" applyFont="1">
      <alignment shrinkToFit="0" wrapText="0"/>
    </xf>
    <xf borderId="0" fillId="2" fontId="1" numFmtId="0" xfId="0" applyAlignment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0" fillId="2" fontId="2" numFmtId="0" xfId="0" applyAlignment="1" applyFill="1" applyFont="1">
      <alignment shrinkToFit="0" wrapText="0"/>
    </xf>
    <xf borderId="0" fillId="2" fontId="2" numFmtId="0" xfId="0" applyAlignment="1" applyFill="1" applyFont="1">
      <alignment shrinkToFit="0" wrapText="0"/>
    </xf>
    <xf borderId="0" fillId="3" fontId="2" numFmtId="0" xfId="0" applyAlignment="1" applyFill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3"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  <tableStyle count="3" pivot="0" name="(Draft) 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0" displayName="Table_2" name="Table_2" id="1">
  <tableColumns count="2">
    <tableColumn name="Project Name" id="1"/>
    <tableColumn name="AI-Assisted Legacy Migration Knowledge Base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1" name="Table_1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4" name="Table_4" id="4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headerRowCount="0" ref="A1:B30" displayName="Table_3" name="Table_3" id="3">
  <tableColumns count="2">
    <tableColumn name="Column1" id="1"/>
    <tableColumn name="Column2" id="2"/>
  </tableColumns>
  <tableStyleInfo name="Team Contrac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B22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B20" displayName="Table_7" name="Table_7" id="7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8.xml><?xml version="1.0" encoding="utf-8"?>
<table xmlns="http://schemas.openxmlformats.org/spreadsheetml/2006/main" ref="A1:G34" displayName="Table_8" name="Table_8" id="8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headerRowCount="0" ref="A1:L1030" displayName="Table_12" name="Table_12" id="1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ill of Materia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1:J28" displayName="Table_13" name="Table_13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(Draft) Bill of Materia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68356420940?pwd=yD6DYSba2jI1DTVMOvI3JmRchu9TuY.1" TargetMode="External"/><Relationship Id="rId2" Type="http://schemas.openxmlformats.org/officeDocument/2006/relationships/hyperlink" Target="https://github.com/amosproj/amos2026ws01-legacy-migrator" TargetMode="External"/><Relationship Id="rId3" Type="http://schemas.openxmlformats.org/officeDocument/2006/relationships/hyperlink" Target="https://github.com/orgs/amosproj/projects/109" TargetMode="External"/><Relationship Id="rId4" Type="http://schemas.openxmlformats.org/officeDocument/2006/relationships/hyperlink" Target="https://github.com/orgs/amosproj/projects/113/views/1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github.com/amosproj/amos2026ws01-legacy-migrator/blob/main/Deliverables/sprint-01/team-logo-blackTshirt.png" TargetMode="External"/><Relationship Id="rId6" Type="http://schemas.openxmlformats.org/officeDocument/2006/relationships/hyperlink" Target="https://github.com/amosproj/amos2026ws01-legacy-migrator/blob/main/Deliverables/sprint-01/team-logo-whiteTshirt.png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Josefinafr" TargetMode="External"/><Relationship Id="rId2" Type="http://schemas.openxmlformats.org/officeDocument/2006/relationships/hyperlink" Target="https://github.com/fbarquez" TargetMode="External"/><Relationship Id="rId3" Type="http://schemas.openxmlformats.org/officeDocument/2006/relationships/hyperlink" Target="https://github.com/Faoilthiama" TargetMode="External"/><Relationship Id="rId4" Type="http://schemas.openxmlformats.org/officeDocument/2006/relationships/hyperlink" Target="https://github.com/3liAf" TargetMode="External"/><Relationship Id="rId10" Type="http://schemas.openxmlformats.org/officeDocument/2006/relationships/drawing" Target="../drawings/drawing2.xml"/><Relationship Id="rId12" Type="http://schemas.openxmlformats.org/officeDocument/2006/relationships/table" Target="../tables/table2.xml"/><Relationship Id="rId9" Type="http://schemas.openxmlformats.org/officeDocument/2006/relationships/hyperlink" Target="https://github.com/RafaelMcMarques" TargetMode="External"/><Relationship Id="rId5" Type="http://schemas.openxmlformats.org/officeDocument/2006/relationships/hyperlink" Target="https://github.com/ppohlitze" TargetMode="External"/><Relationship Id="rId6" Type="http://schemas.openxmlformats.org/officeDocument/2006/relationships/hyperlink" Target="https://github.com/AdriansRubins" TargetMode="External"/><Relationship Id="rId7" Type="http://schemas.openxmlformats.org/officeDocument/2006/relationships/hyperlink" Target="https://github.com/nudelisidle" TargetMode="External"/><Relationship Id="rId8" Type="http://schemas.openxmlformats.org/officeDocument/2006/relationships/hyperlink" Target="https://github.com/RaihanFAU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llkaraoke.party/game/?playlist=English&amp;song=radiohead-creep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3" t="s">
        <v>3</v>
      </c>
    </row>
    <row r="2">
      <c r="A2" s="1"/>
      <c r="B2" s="4"/>
    </row>
    <row r="3">
      <c r="A3" s="3" t="s">
        <v>8</v>
      </c>
      <c r="B3" s="10" t="s">
        <v>10</v>
      </c>
    </row>
    <row r="4">
      <c r="A4" s="1"/>
      <c r="B4" s="4"/>
    </row>
    <row r="5">
      <c r="A5" s="3" t="s">
        <v>21</v>
      </c>
      <c r="B5" s="12" t="s">
        <v>22</v>
      </c>
    </row>
    <row r="6">
      <c r="A6" s="3" t="s">
        <v>24</v>
      </c>
      <c r="B6" s="12" t="s">
        <v>22</v>
      </c>
    </row>
    <row r="7">
      <c r="A7" s="1"/>
      <c r="B7" s="4"/>
    </row>
    <row r="8">
      <c r="A8" s="3" t="s">
        <v>25</v>
      </c>
      <c r="B8" s="15" t="s">
        <v>27</v>
      </c>
    </row>
    <row r="9">
      <c r="A9" s="3" t="s">
        <v>37</v>
      </c>
      <c r="B9" s="10" t="s">
        <v>39</v>
      </c>
    </row>
    <row r="10">
      <c r="A10" s="3" t="s">
        <v>47</v>
      </c>
      <c r="B10" s="10" t="s">
        <v>49</v>
      </c>
    </row>
    <row r="11">
      <c r="A11" s="1"/>
      <c r="B11" s="4"/>
    </row>
    <row r="12">
      <c r="A12" s="21" t="s">
        <v>62</v>
      </c>
      <c r="B12" s="12" t="s">
        <v>68</v>
      </c>
    </row>
    <row r="13">
      <c r="A13" s="3" t="s">
        <v>69</v>
      </c>
      <c r="B13" s="10" t="s">
        <v>71</v>
      </c>
    </row>
    <row r="14">
      <c r="A14" s="3" t="s">
        <v>76</v>
      </c>
      <c r="B14" s="26" t="s">
        <v>77</v>
      </c>
    </row>
    <row r="15">
      <c r="A15" s="1"/>
      <c r="B15" s="4"/>
    </row>
    <row r="16">
      <c r="A16" s="1" t="s">
        <v>82</v>
      </c>
      <c r="B16" s="4" t="s">
        <v>22</v>
      </c>
    </row>
    <row r="17">
      <c r="A17" s="1"/>
      <c r="B17" s="4"/>
    </row>
    <row r="18">
      <c r="A18" s="3" t="s">
        <v>85</v>
      </c>
      <c r="B18" s="12" t="s">
        <v>87</v>
      </c>
    </row>
    <row r="19">
      <c r="A19" s="1"/>
      <c r="B19" s="4"/>
    </row>
    <row r="20">
      <c r="A20" s="1"/>
      <c r="B20" s="27"/>
    </row>
  </sheetData>
  <dataValidations>
    <dataValidation type="list" allowBlank="1" showErrorMessage="1" sqref="B12">
      <formula1>"Upper Torso Center Large,Upper Torso Right Small"</formula1>
    </dataValidation>
  </dataValidations>
  <hyperlinks>
    <hyperlink r:id="rId1" ref="B3"/>
    <hyperlink r:id="rId2" ref="B8"/>
    <hyperlink r:id="rId3" ref="B9"/>
    <hyperlink r:id="rId4" ref="B10"/>
    <hyperlink r:id="rId5" ref="B13"/>
    <hyperlink r:id="rId6" ref="B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0.75"/>
    <col customWidth="1" min="2" max="2" width="21.88"/>
    <col customWidth="1" min="3" max="4" width="31.38"/>
  </cols>
  <sheetData>
    <row r="1">
      <c r="A1" s="2" t="s">
        <v>1</v>
      </c>
      <c r="B1" s="2" t="s">
        <v>2</v>
      </c>
      <c r="C1" s="2" t="s">
        <v>4</v>
      </c>
      <c r="D1" s="2" t="s">
        <v>5</v>
      </c>
    </row>
    <row r="2">
      <c r="A2" s="2" t="s">
        <v>6</v>
      </c>
      <c r="B2" s="2" t="s">
        <v>7</v>
      </c>
      <c r="C2" s="5" t="s">
        <v>9</v>
      </c>
      <c r="D2" s="6" t="s">
        <v>12</v>
      </c>
    </row>
    <row r="3">
      <c r="A3" s="2" t="s">
        <v>13</v>
      </c>
      <c r="B3" s="2" t="s">
        <v>14</v>
      </c>
      <c r="C3" s="5" t="s">
        <v>15</v>
      </c>
      <c r="D3" s="6" t="s">
        <v>16</v>
      </c>
    </row>
    <row r="4">
      <c r="A4" s="2" t="s">
        <v>17</v>
      </c>
      <c r="B4" s="2" t="s">
        <v>18</v>
      </c>
      <c r="C4" s="5" t="s">
        <v>19</v>
      </c>
      <c r="D4" s="6" t="s">
        <v>29</v>
      </c>
    </row>
    <row r="5">
      <c r="A5" s="2" t="s">
        <v>30</v>
      </c>
      <c r="B5" s="2" t="s">
        <v>31</v>
      </c>
      <c r="C5" s="5" t="s">
        <v>32</v>
      </c>
      <c r="D5" s="6" t="s">
        <v>35</v>
      </c>
    </row>
    <row r="6">
      <c r="A6" s="2" t="s">
        <v>38</v>
      </c>
      <c r="B6" s="2" t="s">
        <v>41</v>
      </c>
      <c r="C6" s="5" t="s">
        <v>42</v>
      </c>
      <c r="D6" s="6" t="s">
        <v>53</v>
      </c>
    </row>
    <row r="7">
      <c r="A7" s="2" t="s">
        <v>54</v>
      </c>
      <c r="B7" s="2" t="s">
        <v>55</v>
      </c>
      <c r="C7" s="5" t="s">
        <v>57</v>
      </c>
      <c r="D7" s="6" t="s">
        <v>70</v>
      </c>
    </row>
    <row r="8">
      <c r="A8" s="2" t="s">
        <v>72</v>
      </c>
      <c r="B8" s="2" t="s">
        <v>41</v>
      </c>
      <c r="C8" s="5" t="s">
        <v>75</v>
      </c>
      <c r="D8" s="6" t="s">
        <v>78</v>
      </c>
    </row>
    <row r="9">
      <c r="A9" s="2" t="s">
        <v>79</v>
      </c>
      <c r="B9" s="2" t="s">
        <v>80</v>
      </c>
      <c r="C9" s="5" t="s">
        <v>81</v>
      </c>
      <c r="D9" s="6" t="s">
        <v>83</v>
      </c>
    </row>
    <row r="10">
      <c r="A10" s="2" t="s">
        <v>84</v>
      </c>
      <c r="B10" s="2" t="s">
        <v>86</v>
      </c>
      <c r="C10" s="5" t="s">
        <v>88</v>
      </c>
      <c r="D10" s="6" t="s">
        <v>90</v>
      </c>
    </row>
    <row r="11">
      <c r="A11" s="30"/>
      <c r="B11" s="6"/>
      <c r="C11" s="30"/>
      <c r="D11" s="30"/>
    </row>
    <row r="12">
      <c r="A12" s="30"/>
      <c r="B12" s="30"/>
      <c r="C12" s="30"/>
      <c r="D12" s="30"/>
    </row>
    <row r="13">
      <c r="A13" s="2"/>
      <c r="B13" s="32"/>
      <c r="C13" s="32"/>
      <c r="D13" s="32"/>
    </row>
    <row r="14">
      <c r="A14" s="30"/>
      <c r="B14" s="6"/>
      <c r="C14" s="30"/>
      <c r="D14" s="30"/>
    </row>
    <row r="15">
      <c r="A15" s="30"/>
      <c r="B15" s="6"/>
      <c r="C15" s="30"/>
      <c r="D15" s="30"/>
    </row>
    <row r="16">
      <c r="A16" s="30"/>
      <c r="B16" s="30"/>
      <c r="C16" s="30"/>
      <c r="D16" s="30"/>
    </row>
    <row r="17">
      <c r="A17" s="30"/>
      <c r="B17" s="30"/>
      <c r="C17" s="30"/>
      <c r="D17" s="30"/>
    </row>
    <row r="18">
      <c r="A18" s="30"/>
      <c r="B18" s="30"/>
      <c r="C18" s="30"/>
      <c r="D18" s="30"/>
    </row>
    <row r="19">
      <c r="A19" s="30"/>
      <c r="B19" s="30"/>
      <c r="C19" s="30"/>
      <c r="D19" s="30"/>
    </row>
    <row r="20">
      <c r="A20" s="30"/>
      <c r="B20" s="30"/>
      <c r="C20" s="30"/>
      <c r="D20" s="30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16"/>
      <c r="B1" s="16"/>
      <c r="C1" s="16" t="s">
        <v>45</v>
      </c>
      <c r="E1" s="16"/>
      <c r="F1" s="18"/>
      <c r="G1" s="18"/>
      <c r="H1" s="16"/>
    </row>
    <row r="2">
      <c r="A2" s="20" t="s">
        <v>52</v>
      </c>
      <c r="B2" s="20" t="s">
        <v>56</v>
      </c>
      <c r="C2" s="20" t="s">
        <v>59</v>
      </c>
      <c r="D2" s="20" t="s">
        <v>61</v>
      </c>
      <c r="E2" s="20" t="s">
        <v>63</v>
      </c>
      <c r="F2" s="22" t="s">
        <v>64</v>
      </c>
      <c r="G2" s="22" t="s">
        <v>65</v>
      </c>
      <c r="H2" s="20" t="s">
        <v>66</v>
      </c>
    </row>
    <row r="3">
      <c r="A3" s="23">
        <v>1.0</v>
      </c>
      <c r="B3" s="24">
        <v>46309.0</v>
      </c>
      <c r="C3" s="6" t="s">
        <v>14</v>
      </c>
      <c r="D3" s="6" t="s">
        <v>7</v>
      </c>
      <c r="E3" s="6" t="s">
        <v>73</v>
      </c>
      <c r="F3" s="6" t="s">
        <v>74</v>
      </c>
      <c r="G3" s="6" t="s">
        <v>18</v>
      </c>
      <c r="H3" s="25"/>
    </row>
    <row r="4">
      <c r="A4" s="23">
        <v>2.0</v>
      </c>
      <c r="B4" s="29">
        <f t="shared" ref="B4:B11" si="1">B3+7</f>
        <v>46316</v>
      </c>
      <c r="C4" s="6" t="s">
        <v>7</v>
      </c>
      <c r="D4" s="6" t="s">
        <v>14</v>
      </c>
      <c r="E4" s="6" t="s">
        <v>73</v>
      </c>
      <c r="F4" s="6" t="s">
        <v>31</v>
      </c>
      <c r="G4" s="6" t="s">
        <v>18</v>
      </c>
      <c r="H4" s="25"/>
    </row>
    <row r="5">
      <c r="A5" s="23">
        <v>3.0</v>
      </c>
      <c r="B5" s="29">
        <f t="shared" si="1"/>
        <v>46323</v>
      </c>
      <c r="C5" s="6" t="s">
        <v>14</v>
      </c>
      <c r="D5" s="6" t="s">
        <v>7</v>
      </c>
      <c r="E5" s="6" t="s">
        <v>73</v>
      </c>
      <c r="F5" s="6" t="s">
        <v>94</v>
      </c>
      <c r="G5" s="6" t="s">
        <v>18</v>
      </c>
      <c r="H5" s="25"/>
    </row>
    <row r="6">
      <c r="A6" s="23">
        <v>4.0</v>
      </c>
      <c r="B6" s="29">
        <f t="shared" si="1"/>
        <v>46330</v>
      </c>
      <c r="C6" s="6" t="s">
        <v>7</v>
      </c>
      <c r="D6" s="6" t="s">
        <v>14</v>
      </c>
      <c r="E6" s="6" t="s">
        <v>73</v>
      </c>
      <c r="F6" s="6" t="s">
        <v>55</v>
      </c>
      <c r="G6" s="6" t="s">
        <v>18</v>
      </c>
      <c r="H6" s="25"/>
    </row>
    <row r="7">
      <c r="A7" s="23">
        <v>5.0</v>
      </c>
      <c r="B7" s="29">
        <f t="shared" si="1"/>
        <v>46337</v>
      </c>
      <c r="C7" s="6" t="s">
        <v>14</v>
      </c>
      <c r="D7" s="6" t="s">
        <v>7</v>
      </c>
      <c r="E7" s="6" t="s">
        <v>73</v>
      </c>
      <c r="F7" s="6" t="s">
        <v>97</v>
      </c>
      <c r="G7" s="6" t="s">
        <v>18</v>
      </c>
      <c r="H7" s="25"/>
    </row>
    <row r="8">
      <c r="A8" s="23">
        <v>6.0</v>
      </c>
      <c r="B8" s="29">
        <f t="shared" si="1"/>
        <v>46344</v>
      </c>
      <c r="C8" s="6" t="s">
        <v>7</v>
      </c>
      <c r="D8" s="6" t="s">
        <v>14</v>
      </c>
      <c r="E8" s="6" t="s">
        <v>73</v>
      </c>
      <c r="F8" s="6" t="s">
        <v>80</v>
      </c>
      <c r="G8" s="6" t="s">
        <v>18</v>
      </c>
      <c r="H8" s="25"/>
    </row>
    <row r="9">
      <c r="A9" s="23">
        <v>7.0</v>
      </c>
      <c r="B9" s="29">
        <f t="shared" si="1"/>
        <v>46351</v>
      </c>
      <c r="C9" s="6" t="s">
        <v>14</v>
      </c>
      <c r="D9" s="6" t="s">
        <v>7</v>
      </c>
      <c r="E9" s="6" t="s">
        <v>73</v>
      </c>
      <c r="F9" s="6" t="s">
        <v>86</v>
      </c>
      <c r="G9" s="6" t="s">
        <v>18</v>
      </c>
      <c r="H9" s="34" t="s">
        <v>98</v>
      </c>
    </row>
    <row r="10">
      <c r="A10" s="23">
        <v>8.0</v>
      </c>
      <c r="B10" s="29">
        <f t="shared" si="1"/>
        <v>46358</v>
      </c>
      <c r="C10" s="6" t="s">
        <v>7</v>
      </c>
      <c r="D10" s="6" t="s">
        <v>14</v>
      </c>
      <c r="E10" s="6" t="s">
        <v>73</v>
      </c>
      <c r="F10" s="6" t="s">
        <v>31</v>
      </c>
      <c r="G10" s="6" t="s">
        <v>18</v>
      </c>
      <c r="H10" s="25"/>
    </row>
    <row r="11">
      <c r="A11" s="23">
        <v>9.0</v>
      </c>
      <c r="B11" s="29">
        <f t="shared" si="1"/>
        <v>46365</v>
      </c>
      <c r="C11" s="6" t="s">
        <v>14</v>
      </c>
      <c r="D11" s="6" t="s">
        <v>7</v>
      </c>
      <c r="E11" s="6" t="s">
        <v>73</v>
      </c>
      <c r="F11" s="6" t="s">
        <v>94</v>
      </c>
      <c r="G11" s="6" t="s">
        <v>18</v>
      </c>
      <c r="H11" s="25"/>
    </row>
    <row r="12">
      <c r="A12" s="23">
        <v>10.0</v>
      </c>
      <c r="B12" s="24">
        <v>46398.0</v>
      </c>
      <c r="C12" s="6" t="s">
        <v>7</v>
      </c>
      <c r="D12" s="6" t="s">
        <v>14</v>
      </c>
      <c r="E12" s="6" t="s">
        <v>73</v>
      </c>
      <c r="F12" s="6" t="s">
        <v>55</v>
      </c>
      <c r="G12" s="6" t="s">
        <v>18</v>
      </c>
      <c r="H12" s="25"/>
    </row>
    <row r="13">
      <c r="A13" s="23">
        <v>11.0</v>
      </c>
      <c r="B13" s="29">
        <f t="shared" ref="B13:B17" si="2">B12+7</f>
        <v>46405</v>
      </c>
      <c r="C13" s="6" t="s">
        <v>14</v>
      </c>
      <c r="D13" s="6" t="s">
        <v>7</v>
      </c>
      <c r="E13" s="6" t="s">
        <v>73</v>
      </c>
      <c r="F13" s="6" t="s">
        <v>97</v>
      </c>
      <c r="G13" s="6" t="s">
        <v>18</v>
      </c>
      <c r="H13" s="25"/>
    </row>
    <row r="14">
      <c r="A14" s="23">
        <v>12.0</v>
      </c>
      <c r="B14" s="29">
        <f t="shared" si="2"/>
        <v>46412</v>
      </c>
      <c r="C14" s="6" t="s">
        <v>7</v>
      </c>
      <c r="D14" s="6" t="s">
        <v>14</v>
      </c>
      <c r="E14" s="6" t="s">
        <v>73</v>
      </c>
      <c r="F14" s="6" t="s">
        <v>80</v>
      </c>
      <c r="G14" s="6" t="s">
        <v>18</v>
      </c>
      <c r="H14" s="25"/>
    </row>
    <row r="15">
      <c r="A15" s="23">
        <v>13.0</v>
      </c>
      <c r="B15" s="29">
        <f t="shared" si="2"/>
        <v>46419</v>
      </c>
      <c r="C15" s="6" t="s">
        <v>14</v>
      </c>
      <c r="D15" s="6" t="s">
        <v>7</v>
      </c>
      <c r="E15" s="6" t="s">
        <v>73</v>
      </c>
      <c r="F15" s="6" t="s">
        <v>86</v>
      </c>
      <c r="G15" s="6" t="s">
        <v>18</v>
      </c>
      <c r="H15" s="25"/>
    </row>
    <row r="16">
      <c r="A16" s="23">
        <v>14.0</v>
      </c>
      <c r="B16" s="29">
        <f t="shared" si="2"/>
        <v>46426</v>
      </c>
      <c r="C16" s="6" t="s">
        <v>7</v>
      </c>
      <c r="D16" s="6" t="s">
        <v>14</v>
      </c>
      <c r="E16" s="6" t="s">
        <v>73</v>
      </c>
      <c r="F16" s="6" t="s">
        <v>31</v>
      </c>
      <c r="G16" s="6" t="s">
        <v>18</v>
      </c>
      <c r="H16" s="34" t="s">
        <v>149</v>
      </c>
    </row>
    <row r="17">
      <c r="A17" s="23">
        <v>15.0</v>
      </c>
      <c r="B17" s="29">
        <f t="shared" si="2"/>
        <v>46433</v>
      </c>
      <c r="C17" s="6" t="s">
        <v>14</v>
      </c>
      <c r="D17" s="6" t="s">
        <v>7</v>
      </c>
      <c r="E17" s="6" t="s">
        <v>73</v>
      </c>
      <c r="F17" s="6" t="s">
        <v>94</v>
      </c>
      <c r="G17" s="6" t="s">
        <v>18</v>
      </c>
      <c r="H17" s="34" t="s">
        <v>151</v>
      </c>
    </row>
    <row r="18">
      <c r="A18" s="23"/>
      <c r="B18" s="43"/>
      <c r="C18" s="30"/>
      <c r="D18" s="30"/>
      <c r="E18" s="30"/>
      <c r="F18" s="30"/>
      <c r="G18" s="30"/>
      <c r="H18" s="44"/>
    </row>
    <row r="19">
      <c r="A19" s="34" t="s">
        <v>153</v>
      </c>
      <c r="B19" s="45"/>
      <c r="C19" s="46"/>
      <c r="D19" s="46"/>
      <c r="E19" s="46"/>
      <c r="F19" s="46"/>
      <c r="G19" s="46"/>
      <c r="H19" s="44"/>
    </row>
    <row r="20">
      <c r="A20" s="46"/>
      <c r="B20" s="43"/>
      <c r="C20" s="30"/>
      <c r="D20" s="30"/>
      <c r="E20" s="30"/>
      <c r="F20" s="30"/>
      <c r="G20" s="30"/>
      <c r="H20" s="44"/>
    </row>
    <row r="21">
      <c r="A21" s="23"/>
      <c r="B21" s="43"/>
      <c r="C21" s="30"/>
      <c r="D21" s="30"/>
      <c r="E21" s="30"/>
      <c r="F21" s="30"/>
      <c r="G21" s="30"/>
      <c r="H21" s="44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75.0"/>
  </cols>
  <sheetData>
    <row r="1">
      <c r="A1" s="7" t="s">
        <v>11</v>
      </c>
      <c r="B1" s="8"/>
    </row>
    <row r="2">
      <c r="A2" s="9"/>
      <c r="B2" s="11" t="s">
        <v>20</v>
      </c>
    </row>
    <row r="3">
      <c r="A3" s="13" t="s">
        <v>23</v>
      </c>
      <c r="B3" s="14"/>
    </row>
    <row r="4">
      <c r="A4" s="9"/>
      <c r="B4" s="11" t="s">
        <v>26</v>
      </c>
    </row>
    <row r="5">
      <c r="A5" s="13" t="s">
        <v>28</v>
      </c>
      <c r="B5" s="14"/>
    </row>
    <row r="6">
      <c r="A6" s="9"/>
      <c r="B6" s="11" t="s">
        <v>33</v>
      </c>
    </row>
    <row r="7">
      <c r="A7" s="13" t="s">
        <v>34</v>
      </c>
      <c r="B7" s="14"/>
    </row>
    <row r="8">
      <c r="A8" s="9"/>
      <c r="B8" s="11" t="s">
        <v>36</v>
      </c>
    </row>
    <row r="9">
      <c r="A9" s="13" t="s">
        <v>40</v>
      </c>
      <c r="B9" s="14"/>
    </row>
    <row r="10">
      <c r="A10" s="9"/>
      <c r="B10" s="11" t="s">
        <v>43</v>
      </c>
    </row>
    <row r="11">
      <c r="A11" s="13" t="s">
        <v>44</v>
      </c>
      <c r="B11" s="14"/>
    </row>
    <row r="12">
      <c r="A12" s="17"/>
      <c r="B12" s="11" t="s">
        <v>46</v>
      </c>
    </row>
    <row r="13">
      <c r="A13" s="13" t="s">
        <v>48</v>
      </c>
      <c r="B13" s="14"/>
    </row>
    <row r="14">
      <c r="A14" s="17"/>
      <c r="B14" s="11" t="s">
        <v>50</v>
      </c>
    </row>
    <row r="15">
      <c r="A15" s="19" t="s">
        <v>51</v>
      </c>
      <c r="B15" s="14"/>
    </row>
    <row r="16">
      <c r="A16" s="17"/>
      <c r="B16" s="11" t="s">
        <v>58</v>
      </c>
    </row>
    <row r="17">
      <c r="A17" s="19" t="s">
        <v>60</v>
      </c>
      <c r="B17" s="14"/>
    </row>
    <row r="18">
      <c r="A18" s="17"/>
      <c r="B18" s="28" t="s">
        <v>67</v>
      </c>
    </row>
    <row r="19">
      <c r="A19" s="13" t="s">
        <v>89</v>
      </c>
      <c r="B19" s="19"/>
    </row>
    <row r="21">
      <c r="A21" s="31" t="s">
        <v>65</v>
      </c>
      <c r="B21" s="33" t="s">
        <v>18</v>
      </c>
    </row>
    <row r="22">
      <c r="A22" s="31" t="s">
        <v>91</v>
      </c>
      <c r="B22" s="33" t="s">
        <v>92</v>
      </c>
    </row>
    <row r="23" ht="1.5" customHeight="1">
      <c r="A23" s="31" t="s">
        <v>91</v>
      </c>
      <c r="B23" s="33" t="s">
        <v>7</v>
      </c>
    </row>
    <row r="24">
      <c r="A24" s="31" t="s">
        <v>93</v>
      </c>
      <c r="B24" s="33" t="s">
        <v>41</v>
      </c>
    </row>
    <row r="25">
      <c r="A25" s="31" t="s">
        <v>93</v>
      </c>
      <c r="B25" s="33" t="s">
        <v>95</v>
      </c>
    </row>
    <row r="26">
      <c r="A26" s="31" t="s">
        <v>93</v>
      </c>
      <c r="B26" s="33" t="s">
        <v>96</v>
      </c>
    </row>
    <row r="27">
      <c r="A27" s="31" t="s">
        <v>93</v>
      </c>
      <c r="B27" s="33" t="s">
        <v>86</v>
      </c>
    </row>
    <row r="28">
      <c r="A28" s="31" t="s">
        <v>93</v>
      </c>
      <c r="B28" s="33" t="s">
        <v>80</v>
      </c>
    </row>
    <row r="29">
      <c r="A29" s="31" t="s">
        <v>93</v>
      </c>
      <c r="B29" s="33" t="s">
        <v>41</v>
      </c>
    </row>
  </sheetData>
  <hyperlinks>
    <hyperlink r:id="rId1" ref="B18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35" t="s">
        <v>99</v>
      </c>
      <c r="B1" s="35" t="s">
        <v>100</v>
      </c>
    </row>
    <row r="2">
      <c r="A2" s="36"/>
      <c r="B2" s="37"/>
    </row>
    <row r="3">
      <c r="A3" s="39" t="s">
        <v>101</v>
      </c>
      <c r="B3" s="39" t="s">
        <v>104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87.63"/>
  </cols>
  <sheetData>
    <row r="1">
      <c r="A1" s="38" t="s">
        <v>102</v>
      </c>
      <c r="B1" s="38" t="s">
        <v>103</v>
      </c>
    </row>
    <row r="2" ht="33.0" customHeight="1">
      <c r="A2" s="40" t="s">
        <v>105</v>
      </c>
      <c r="B2" s="40" t="s">
        <v>106</v>
      </c>
    </row>
    <row r="3" ht="30.75" customHeight="1">
      <c r="A3" s="40" t="s">
        <v>107</v>
      </c>
      <c r="B3" s="40" t="s">
        <v>108</v>
      </c>
    </row>
    <row r="4" ht="30.0" customHeight="1">
      <c r="A4" s="40" t="s">
        <v>109</v>
      </c>
      <c r="B4" s="40" t="s">
        <v>110</v>
      </c>
    </row>
    <row r="5">
      <c r="A5" s="40" t="s">
        <v>111</v>
      </c>
      <c r="B5" s="40" t="s">
        <v>112</v>
      </c>
    </row>
    <row r="6">
      <c r="A6" s="40" t="s">
        <v>113</v>
      </c>
      <c r="B6" s="40" t="s">
        <v>114</v>
      </c>
    </row>
    <row r="7">
      <c r="A7" s="40" t="s">
        <v>115</v>
      </c>
      <c r="B7" s="40" t="s">
        <v>116</v>
      </c>
    </row>
    <row r="8">
      <c r="A8" s="40" t="s">
        <v>117</v>
      </c>
      <c r="B8" s="40" t="s">
        <v>118</v>
      </c>
    </row>
    <row r="9">
      <c r="A9" s="40" t="s">
        <v>119</v>
      </c>
      <c r="B9" s="40" t="s">
        <v>120</v>
      </c>
    </row>
    <row r="10">
      <c r="A10" s="40" t="s">
        <v>121</v>
      </c>
      <c r="B10" s="40" t="s">
        <v>122</v>
      </c>
    </row>
    <row r="11">
      <c r="A11" s="40" t="s">
        <v>123</v>
      </c>
      <c r="B11" s="40" t="s">
        <v>124</v>
      </c>
    </row>
    <row r="12">
      <c r="A12" s="40" t="s">
        <v>125</v>
      </c>
      <c r="B12" s="40" t="s">
        <v>126</v>
      </c>
    </row>
    <row r="13">
      <c r="A13" s="40" t="s">
        <v>127</v>
      </c>
      <c r="B13" s="40" t="s">
        <v>128</v>
      </c>
    </row>
    <row r="14">
      <c r="A14" s="40" t="s">
        <v>129</v>
      </c>
      <c r="B14" s="40" t="s">
        <v>130</v>
      </c>
    </row>
    <row r="15">
      <c r="A15" s="40" t="s">
        <v>131</v>
      </c>
      <c r="B15" s="40" t="s">
        <v>132</v>
      </c>
    </row>
    <row r="16">
      <c r="A16" s="40" t="s">
        <v>133</v>
      </c>
      <c r="B16" s="40" t="s">
        <v>134</v>
      </c>
    </row>
    <row r="17">
      <c r="A17" s="40" t="s">
        <v>135</v>
      </c>
      <c r="B17" s="40" t="s">
        <v>136</v>
      </c>
    </row>
    <row r="18">
      <c r="A18" s="40" t="s">
        <v>137</v>
      </c>
      <c r="B18" s="40" t="s">
        <v>138</v>
      </c>
    </row>
    <row r="19">
      <c r="A19" s="40" t="s">
        <v>139</v>
      </c>
      <c r="B19" s="40" t="s">
        <v>140</v>
      </c>
    </row>
    <row r="20">
      <c r="A20" s="40" t="s">
        <v>141</v>
      </c>
      <c r="B20" s="40" t="s">
        <v>142</v>
      </c>
    </row>
    <row r="21">
      <c r="A21" s="40" t="s">
        <v>143</v>
      </c>
      <c r="B21" s="40" t="s">
        <v>144</v>
      </c>
    </row>
    <row r="22" ht="38.25" customHeight="1">
      <c r="A22" s="40" t="s">
        <v>145</v>
      </c>
      <c r="B22" s="40" t="s">
        <v>146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1" t="s">
        <v>147</v>
      </c>
      <c r="B1" s="3" t="s">
        <v>148</v>
      </c>
    </row>
    <row r="2">
      <c r="A2" s="42">
        <v>1.0</v>
      </c>
      <c r="B2" s="12" t="s">
        <v>150</v>
      </c>
    </row>
    <row r="3">
      <c r="A3" s="42">
        <f t="shared" ref="A3:A16" si="1">A2+1</f>
        <v>2</v>
      </c>
      <c r="B3" s="12" t="s">
        <v>152</v>
      </c>
    </row>
    <row r="4">
      <c r="A4" s="42">
        <f t="shared" si="1"/>
        <v>3</v>
      </c>
      <c r="B4" s="12" t="s">
        <v>152</v>
      </c>
    </row>
    <row r="5">
      <c r="A5" s="42">
        <f t="shared" si="1"/>
        <v>4</v>
      </c>
      <c r="B5" s="33" t="s">
        <v>155</v>
      </c>
    </row>
    <row r="6">
      <c r="A6" s="42">
        <f t="shared" si="1"/>
        <v>5</v>
      </c>
      <c r="B6" s="12" t="s">
        <v>156</v>
      </c>
    </row>
    <row r="7">
      <c r="A7" s="42">
        <f t="shared" si="1"/>
        <v>6</v>
      </c>
      <c r="B7" s="4"/>
    </row>
    <row r="8">
      <c r="A8" s="42">
        <f t="shared" si="1"/>
        <v>7</v>
      </c>
      <c r="B8" s="4"/>
    </row>
    <row r="9">
      <c r="A9" s="42">
        <f t="shared" si="1"/>
        <v>8</v>
      </c>
      <c r="B9" s="4"/>
    </row>
    <row r="10">
      <c r="A10" s="42">
        <f t="shared" si="1"/>
        <v>9</v>
      </c>
      <c r="B10" s="4"/>
    </row>
    <row r="11">
      <c r="A11" s="42">
        <f t="shared" si="1"/>
        <v>10</v>
      </c>
      <c r="B11" s="4"/>
    </row>
    <row r="12">
      <c r="A12" s="42">
        <f t="shared" si="1"/>
        <v>11</v>
      </c>
      <c r="B12" s="4"/>
    </row>
    <row r="13">
      <c r="A13" s="42">
        <f t="shared" si="1"/>
        <v>12</v>
      </c>
      <c r="B13" s="4"/>
    </row>
    <row r="14">
      <c r="A14" s="42">
        <f t="shared" si="1"/>
        <v>13</v>
      </c>
      <c r="B14" s="4"/>
    </row>
    <row r="15">
      <c r="A15" s="42">
        <f t="shared" si="1"/>
        <v>14</v>
      </c>
      <c r="B15" s="4"/>
    </row>
    <row r="16">
      <c r="A16" s="42">
        <f t="shared" si="1"/>
        <v>15</v>
      </c>
      <c r="B16" s="4"/>
    </row>
    <row r="17">
      <c r="A17" s="42"/>
      <c r="B17" s="4"/>
    </row>
    <row r="18">
      <c r="A18" s="42"/>
      <c r="B18" s="4"/>
    </row>
    <row r="19">
      <c r="A19" s="50"/>
      <c r="B19" s="4"/>
    </row>
    <row r="20">
      <c r="A20" s="50"/>
      <c r="B20" s="4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1" t="s">
        <v>147</v>
      </c>
      <c r="B1" s="3" t="s">
        <v>154</v>
      </c>
    </row>
    <row r="2">
      <c r="A2" s="42">
        <v>1.0</v>
      </c>
      <c r="B2" s="12"/>
    </row>
    <row r="3">
      <c r="A3" s="42">
        <f t="shared" ref="A3:A16" si="1">A2+1</f>
        <v>2</v>
      </c>
      <c r="B3" s="12"/>
    </row>
    <row r="4">
      <c r="A4" s="42">
        <f t="shared" si="1"/>
        <v>3</v>
      </c>
      <c r="B4" s="12"/>
    </row>
    <row r="5">
      <c r="A5" s="42">
        <f t="shared" si="1"/>
        <v>4</v>
      </c>
    </row>
    <row r="6">
      <c r="A6" s="42">
        <f t="shared" si="1"/>
        <v>5</v>
      </c>
      <c r="B6" s="12"/>
    </row>
    <row r="7">
      <c r="A7" s="42">
        <f t="shared" si="1"/>
        <v>6</v>
      </c>
      <c r="B7" s="4"/>
    </row>
    <row r="8">
      <c r="A8" s="42">
        <f t="shared" si="1"/>
        <v>7</v>
      </c>
      <c r="B8" s="4"/>
    </row>
    <row r="9">
      <c r="A9" s="42">
        <f t="shared" si="1"/>
        <v>8</v>
      </c>
      <c r="B9" s="4"/>
    </row>
    <row r="10">
      <c r="A10" s="42">
        <f t="shared" si="1"/>
        <v>9</v>
      </c>
      <c r="B10" s="4"/>
    </row>
    <row r="11">
      <c r="A11" s="42">
        <f t="shared" si="1"/>
        <v>10</v>
      </c>
      <c r="B11" s="4"/>
    </row>
    <row r="12">
      <c r="A12" s="42">
        <f t="shared" si="1"/>
        <v>11</v>
      </c>
      <c r="B12" s="4"/>
    </row>
    <row r="13">
      <c r="A13" s="42">
        <f t="shared" si="1"/>
        <v>12</v>
      </c>
      <c r="B13" s="4"/>
    </row>
    <row r="14">
      <c r="A14" s="42">
        <f t="shared" si="1"/>
        <v>13</v>
      </c>
      <c r="B14" s="4"/>
    </row>
    <row r="15">
      <c r="A15" s="42">
        <f t="shared" si="1"/>
        <v>14</v>
      </c>
      <c r="B15" s="4"/>
    </row>
    <row r="16">
      <c r="A16" s="42">
        <f t="shared" si="1"/>
        <v>15</v>
      </c>
      <c r="B16" s="4"/>
    </row>
    <row r="17">
      <c r="A17" s="42"/>
      <c r="B17" s="4"/>
    </row>
    <row r="18">
      <c r="A18" s="42"/>
      <c r="B18" s="59" t="s">
        <v>166</v>
      </c>
    </row>
    <row r="19">
      <c r="A19" s="50"/>
      <c r="B19" s="4"/>
    </row>
    <row r="20">
      <c r="A20" s="50"/>
      <c r="B20" s="4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47" t="s">
        <v>157</v>
      </c>
      <c r="B1" s="48" t="s">
        <v>158</v>
      </c>
      <c r="C1" s="49" t="s">
        <v>159</v>
      </c>
      <c r="D1" s="51" t="s">
        <v>160</v>
      </c>
      <c r="E1" s="51" t="s">
        <v>161</v>
      </c>
      <c r="F1" s="51" t="s">
        <v>162</v>
      </c>
      <c r="G1" s="51" t="s">
        <v>163</v>
      </c>
    </row>
    <row r="2">
      <c r="A2" s="52"/>
      <c r="B2" s="53"/>
      <c r="C2" s="14"/>
      <c r="D2" s="14"/>
      <c r="E2" s="14"/>
      <c r="F2" s="14"/>
      <c r="G2" s="14"/>
    </row>
    <row r="3">
      <c r="A3" s="54" t="s">
        <v>164</v>
      </c>
      <c r="B3" s="55"/>
      <c r="C3" s="56"/>
      <c r="D3" s="56"/>
      <c r="E3" s="56"/>
      <c r="F3" s="56"/>
      <c r="G3" s="56"/>
    </row>
    <row r="4">
      <c r="A4" s="52"/>
      <c r="B4" s="53"/>
      <c r="C4" s="14"/>
      <c r="D4" s="14"/>
      <c r="E4" s="14"/>
      <c r="F4" s="14"/>
      <c r="G4" s="14"/>
    </row>
    <row r="5">
      <c r="A5" s="57" t="s">
        <v>165</v>
      </c>
      <c r="B5" s="58"/>
      <c r="C5" s="17"/>
      <c r="D5" s="60">
        <f>sum(D8:D13)</f>
        <v>0</v>
      </c>
      <c r="E5" s="60">
        <f>D5</f>
        <v>0</v>
      </c>
      <c r="F5" s="17"/>
      <c r="G5" s="17"/>
    </row>
    <row r="6">
      <c r="A6" s="52"/>
      <c r="B6" s="53"/>
      <c r="C6" s="14"/>
      <c r="D6" s="14"/>
      <c r="E6" s="14"/>
      <c r="F6" s="14"/>
      <c r="G6" s="14"/>
    </row>
    <row r="7">
      <c r="A7" s="61" t="s">
        <v>167</v>
      </c>
      <c r="B7" s="62"/>
      <c r="C7" s="63"/>
      <c r="D7" s="63"/>
      <c r="E7" s="63"/>
      <c r="F7" s="63"/>
      <c r="G7" s="63"/>
    </row>
    <row r="8">
      <c r="A8" s="52"/>
      <c r="B8" s="53"/>
      <c r="C8" s="14"/>
      <c r="D8" s="14"/>
      <c r="E8" s="64" t="s">
        <v>168</v>
      </c>
      <c r="F8" s="14"/>
      <c r="G8" s="64" t="s">
        <v>169</v>
      </c>
    </row>
    <row r="9">
      <c r="A9" s="65">
        <v>1.0</v>
      </c>
      <c r="B9" s="57"/>
      <c r="C9" s="17"/>
      <c r="D9" s="60">
        <f>sum(D16:D21)</f>
        <v>0</v>
      </c>
      <c r="E9" s="60">
        <f>$D$5</f>
        <v>0</v>
      </c>
      <c r="F9" s="60">
        <f>sum(F16:F21)</f>
        <v>0</v>
      </c>
      <c r="G9" s="60">
        <f>$D$5</f>
        <v>0</v>
      </c>
    </row>
    <row r="10">
      <c r="A10" s="52">
        <f t="shared" ref="A10:A11" si="1">A9+1</f>
        <v>2</v>
      </c>
      <c r="B10" s="53"/>
      <c r="C10" s="14"/>
      <c r="D10" s="67">
        <f>sum(D22:D27)</f>
        <v>0</v>
      </c>
      <c r="E10" s="67">
        <f t="shared" ref="E10:E12" si="2">E9-D9</f>
        <v>0</v>
      </c>
      <c r="F10" s="67">
        <f>sum(F22:F27)</f>
        <v>0</v>
      </c>
      <c r="G10" s="67">
        <f t="shared" ref="G10:G12" si="3">G9-F9</f>
        <v>0</v>
      </c>
    </row>
    <row r="11">
      <c r="A11" s="65">
        <f t="shared" si="1"/>
        <v>3</v>
      </c>
      <c r="B11" s="57"/>
      <c r="C11" s="17"/>
      <c r="D11" s="60">
        <f>sum(D28:D33)</f>
        <v>0</v>
      </c>
      <c r="E11" s="60">
        <f t="shared" si="2"/>
        <v>0</v>
      </c>
      <c r="F11" s="60">
        <f>sum(F28:F33)</f>
        <v>0</v>
      </c>
      <c r="G11" s="60">
        <f t="shared" si="3"/>
        <v>0</v>
      </c>
    </row>
    <row r="12">
      <c r="A12" s="71" t="s">
        <v>22</v>
      </c>
      <c r="B12" s="72"/>
      <c r="C12" s="14"/>
      <c r="D12" s="14"/>
      <c r="E12" s="67">
        <f t="shared" si="2"/>
        <v>0</v>
      </c>
      <c r="F12" s="14"/>
      <c r="G12" s="67">
        <f t="shared" si="3"/>
        <v>0</v>
      </c>
    </row>
    <row r="13">
      <c r="A13" s="65"/>
      <c r="B13" s="57"/>
      <c r="C13" s="17"/>
      <c r="D13" s="17"/>
      <c r="E13" s="17"/>
      <c r="F13" s="17"/>
      <c r="G13" s="17"/>
    </row>
    <row r="14">
      <c r="A14" s="73" t="s">
        <v>175</v>
      </c>
      <c r="B14" s="74"/>
      <c r="C14" s="75"/>
      <c r="D14" s="75"/>
      <c r="E14" s="75"/>
      <c r="F14" s="75"/>
      <c r="G14" s="75"/>
    </row>
    <row r="15">
      <c r="A15" s="65"/>
      <c r="B15" s="57"/>
      <c r="C15" s="17"/>
      <c r="D15" s="17"/>
      <c r="E15" s="17"/>
      <c r="F15" s="17"/>
      <c r="G15" s="17"/>
    </row>
    <row r="16">
      <c r="A16" s="76">
        <f t="shared" ref="A16:B16" si="4">A9</f>
        <v>1</v>
      </c>
      <c r="B16" s="77" t="str">
        <f t="shared" si="4"/>
        <v/>
      </c>
      <c r="C16" s="14"/>
      <c r="D16" s="14"/>
      <c r="E16" s="14"/>
      <c r="F16" s="14"/>
      <c r="G16" s="14"/>
    </row>
    <row r="17">
      <c r="A17" s="65"/>
      <c r="B17" s="78"/>
      <c r="C17" s="17"/>
      <c r="D17" s="17"/>
      <c r="E17" s="17"/>
      <c r="F17" s="17"/>
      <c r="G17" s="17"/>
    </row>
    <row r="18">
      <c r="A18" s="52"/>
      <c r="B18" s="53"/>
      <c r="C18" s="72"/>
      <c r="D18" s="79"/>
      <c r="E18" s="53"/>
      <c r="F18" s="79"/>
      <c r="G18" s="53"/>
    </row>
    <row r="19">
      <c r="A19" s="65"/>
      <c r="B19" s="78"/>
      <c r="C19" s="17"/>
      <c r="D19" s="60"/>
      <c r="E19" s="17"/>
      <c r="F19" s="60"/>
      <c r="G19" s="17"/>
    </row>
    <row r="20">
      <c r="A20" s="80"/>
      <c r="B20" s="72"/>
      <c r="C20" s="72"/>
      <c r="D20" s="67"/>
      <c r="E20" s="72"/>
      <c r="F20" s="67"/>
      <c r="G20" s="72"/>
    </row>
    <row r="21">
      <c r="A21" s="65"/>
      <c r="B21" s="78"/>
      <c r="C21" s="17"/>
      <c r="D21" s="60"/>
      <c r="E21" s="17"/>
      <c r="F21" s="60"/>
      <c r="G21" s="17"/>
    </row>
    <row r="22">
      <c r="A22" s="76">
        <f t="shared" ref="A22:B22" si="5">A10</f>
        <v>2</v>
      </c>
      <c r="B22" s="77" t="str">
        <f t="shared" si="5"/>
        <v/>
      </c>
      <c r="C22" s="14"/>
      <c r="D22" s="14"/>
      <c r="E22" s="14"/>
      <c r="F22" s="14"/>
      <c r="G22" s="14"/>
    </row>
    <row r="23">
      <c r="A23" s="65"/>
      <c r="B23" s="78"/>
      <c r="C23" s="17"/>
      <c r="D23" s="17"/>
      <c r="E23" s="17"/>
      <c r="F23" s="17"/>
      <c r="G23" s="17"/>
    </row>
    <row r="24">
      <c r="A24" s="80"/>
      <c r="B24" s="72"/>
      <c r="C24" s="72"/>
      <c r="D24" s="67"/>
      <c r="E24" s="72"/>
      <c r="F24" s="67"/>
      <c r="G24" s="72"/>
    </row>
    <row r="25">
      <c r="A25" s="65"/>
      <c r="B25" s="78"/>
      <c r="C25" s="17"/>
      <c r="D25" s="60"/>
      <c r="E25" s="17"/>
      <c r="F25" s="60"/>
      <c r="G25" s="17"/>
    </row>
    <row r="26">
      <c r="A26" s="80"/>
      <c r="B26" s="72"/>
      <c r="C26" s="72"/>
      <c r="D26" s="67"/>
      <c r="E26" s="72"/>
      <c r="F26" s="67"/>
      <c r="G26" s="72"/>
    </row>
    <row r="27">
      <c r="A27" s="65"/>
      <c r="B27" s="78"/>
      <c r="C27" s="17"/>
      <c r="D27" s="60"/>
      <c r="E27" s="17"/>
      <c r="F27" s="60"/>
      <c r="G27" s="17"/>
    </row>
    <row r="28">
      <c r="A28" s="76">
        <f t="shared" ref="A28:B28" si="6">A11</f>
        <v>3</v>
      </c>
      <c r="B28" s="77" t="str">
        <f t="shared" si="6"/>
        <v/>
      </c>
      <c r="C28" s="14"/>
      <c r="D28" s="14"/>
      <c r="E28" s="14"/>
      <c r="F28" s="14"/>
      <c r="G28" s="14"/>
    </row>
    <row r="29">
      <c r="A29" s="65"/>
      <c r="B29" s="78"/>
      <c r="C29" s="17"/>
      <c r="D29" s="17"/>
      <c r="E29" s="17"/>
      <c r="F29" s="17"/>
      <c r="G29" s="17"/>
    </row>
    <row r="30">
      <c r="A30" s="80"/>
      <c r="B30" s="72"/>
      <c r="C30" s="72"/>
      <c r="D30" s="67"/>
      <c r="E30" s="72"/>
      <c r="F30" s="72"/>
      <c r="G30" s="72"/>
    </row>
    <row r="31">
      <c r="A31" s="65"/>
      <c r="B31" s="78"/>
      <c r="C31" s="17"/>
      <c r="D31" s="60"/>
      <c r="E31" s="17"/>
      <c r="F31" s="17"/>
      <c r="G31" s="17"/>
    </row>
    <row r="32">
      <c r="A32" s="80"/>
      <c r="B32" s="72"/>
      <c r="C32" s="14"/>
      <c r="D32" s="67"/>
      <c r="E32" s="72"/>
      <c r="F32" s="72"/>
      <c r="G32" s="72"/>
    </row>
    <row r="33">
      <c r="A33" s="65"/>
      <c r="B33" s="78"/>
      <c r="C33" s="85" t="s">
        <v>202</v>
      </c>
      <c r="D33" s="60"/>
      <c r="E33" s="17"/>
      <c r="F33" s="17"/>
      <c r="G33" s="17"/>
    </row>
    <row r="34">
      <c r="A34" s="80"/>
      <c r="B34" s="72"/>
      <c r="C34" s="14"/>
      <c r="D34" s="14"/>
      <c r="E34" s="14"/>
      <c r="F34" s="14"/>
      <c r="G34" s="14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47" t="s">
        <v>157</v>
      </c>
      <c r="B1" s="66" t="s">
        <v>158</v>
      </c>
      <c r="C1" s="49" t="s">
        <v>159</v>
      </c>
      <c r="D1" s="51" t="s">
        <v>160</v>
      </c>
      <c r="E1" s="51" t="s">
        <v>161</v>
      </c>
      <c r="F1" s="51" t="s">
        <v>162</v>
      </c>
      <c r="G1" s="51" t="s">
        <v>163</v>
      </c>
    </row>
    <row r="2">
      <c r="A2" s="52"/>
      <c r="B2" s="14"/>
      <c r="C2" s="14"/>
      <c r="D2" s="14"/>
      <c r="E2" s="14"/>
      <c r="F2" s="14"/>
      <c r="G2" s="14"/>
    </row>
    <row r="3">
      <c r="A3" s="54" t="s">
        <v>164</v>
      </c>
      <c r="B3" s="56"/>
      <c r="C3" s="56"/>
      <c r="D3" s="56"/>
      <c r="E3" s="56"/>
      <c r="F3" s="56"/>
      <c r="G3" s="56"/>
    </row>
    <row r="4">
      <c r="A4" s="52"/>
      <c r="B4" s="14"/>
      <c r="C4" s="14"/>
      <c r="D4" s="14"/>
      <c r="E4" s="14"/>
      <c r="F4" s="14"/>
      <c r="G4" s="14"/>
    </row>
    <row r="5">
      <c r="A5" s="57" t="s">
        <v>165</v>
      </c>
      <c r="B5" s="17"/>
      <c r="C5" s="17"/>
      <c r="D5" s="60">
        <f>sum(D8:D13)</f>
        <v>0</v>
      </c>
      <c r="E5" s="60">
        <f>D5</f>
        <v>0</v>
      </c>
      <c r="F5" s="17"/>
      <c r="G5" s="17"/>
    </row>
    <row r="6">
      <c r="A6" s="52"/>
      <c r="B6" s="14"/>
      <c r="C6" s="14"/>
      <c r="D6" s="14"/>
      <c r="E6" s="14"/>
      <c r="F6" s="14"/>
      <c r="G6" s="14"/>
    </row>
    <row r="7">
      <c r="A7" s="61" t="s">
        <v>167</v>
      </c>
      <c r="B7" s="70"/>
      <c r="C7" s="63"/>
      <c r="D7" s="63"/>
      <c r="E7" s="63"/>
      <c r="F7" s="63"/>
      <c r="G7" s="63"/>
    </row>
    <row r="8">
      <c r="A8" s="52"/>
      <c r="B8" s="14"/>
      <c r="C8" s="14"/>
      <c r="D8" s="14"/>
      <c r="E8" s="64" t="s">
        <v>168</v>
      </c>
      <c r="F8" s="14"/>
      <c r="G8" s="64" t="s">
        <v>169</v>
      </c>
    </row>
    <row r="9">
      <c r="A9" s="65">
        <v>1.0</v>
      </c>
      <c r="B9" s="17"/>
      <c r="C9" s="17"/>
      <c r="D9" s="60">
        <f>sum(D16:D21)</f>
        <v>0</v>
      </c>
      <c r="E9" s="60">
        <f>$D$5</f>
        <v>0</v>
      </c>
      <c r="F9" s="60">
        <f>sum(F16:F21)</f>
        <v>0</v>
      </c>
      <c r="G9" s="60">
        <f>$D$5</f>
        <v>0</v>
      </c>
    </row>
    <row r="10">
      <c r="A10" s="52">
        <f t="shared" ref="A10:A11" si="1">A9+1</f>
        <v>2</v>
      </c>
      <c r="B10" s="14"/>
      <c r="C10" s="14"/>
      <c r="D10" s="67">
        <f>sum(D22:D27)</f>
        <v>0</v>
      </c>
      <c r="E10" s="67">
        <f t="shared" ref="E10:E12" si="2">E9-D9</f>
        <v>0</v>
      </c>
      <c r="F10" s="67">
        <f>sum(F22:F27)</f>
        <v>0</v>
      </c>
      <c r="G10" s="67">
        <f t="shared" ref="G10:G12" si="3">G9-F9</f>
        <v>0</v>
      </c>
    </row>
    <row r="11">
      <c r="A11" s="65">
        <f t="shared" si="1"/>
        <v>3</v>
      </c>
      <c r="B11" s="17"/>
      <c r="C11" s="17"/>
      <c r="D11" s="60">
        <f>sum(D28:D33)</f>
        <v>0</v>
      </c>
      <c r="E11" s="60">
        <f t="shared" si="2"/>
        <v>0</v>
      </c>
      <c r="F11" s="60">
        <f>sum(F28:F33)</f>
        <v>0</v>
      </c>
      <c r="G11" s="60">
        <f t="shared" si="3"/>
        <v>0</v>
      </c>
    </row>
    <row r="12">
      <c r="A12" s="71" t="s">
        <v>22</v>
      </c>
      <c r="B12" s="14"/>
      <c r="C12" s="14"/>
      <c r="D12" s="14"/>
      <c r="E12" s="67">
        <f t="shared" si="2"/>
        <v>0</v>
      </c>
      <c r="F12" s="14"/>
      <c r="G12" s="67">
        <f t="shared" si="3"/>
        <v>0</v>
      </c>
    </row>
    <row r="13">
      <c r="A13" s="65"/>
      <c r="B13" s="17"/>
      <c r="C13" s="17"/>
      <c r="D13" s="17"/>
      <c r="E13" s="17"/>
      <c r="F13" s="17"/>
      <c r="G13" s="17"/>
    </row>
    <row r="14">
      <c r="A14" s="73" t="s">
        <v>175</v>
      </c>
      <c r="B14" s="74"/>
      <c r="C14" s="75"/>
      <c r="D14" s="75"/>
      <c r="E14" s="75"/>
      <c r="F14" s="75"/>
      <c r="G14" s="75"/>
    </row>
    <row r="15">
      <c r="A15" s="65"/>
      <c r="B15" s="17"/>
      <c r="C15" s="17"/>
      <c r="D15" s="17"/>
      <c r="E15" s="17"/>
      <c r="F15" s="17"/>
      <c r="G15" s="17"/>
    </row>
    <row r="16">
      <c r="A16" s="76">
        <f>A9</f>
        <v>1</v>
      </c>
      <c r="B16" s="14"/>
      <c r="C16" s="14"/>
      <c r="D16" s="14"/>
      <c r="E16" s="14"/>
      <c r="F16" s="14"/>
      <c r="G16" s="14"/>
    </row>
    <row r="17">
      <c r="A17" s="65"/>
      <c r="B17" s="78"/>
      <c r="C17" s="17"/>
      <c r="D17" s="17"/>
      <c r="E17" s="17"/>
      <c r="F17" s="17"/>
      <c r="G17" s="17"/>
    </row>
    <row r="18">
      <c r="A18" s="52"/>
      <c r="B18" s="84"/>
      <c r="C18" s="72"/>
      <c r="D18" s="79"/>
      <c r="E18" s="53"/>
      <c r="F18" s="79"/>
      <c r="G18" s="53"/>
    </row>
    <row r="19">
      <c r="A19" s="65"/>
      <c r="B19" s="17"/>
      <c r="C19" s="17"/>
      <c r="D19" s="60"/>
      <c r="E19" s="17"/>
      <c r="F19" s="60"/>
      <c r="G19" s="17"/>
    </row>
    <row r="20">
      <c r="A20" s="80"/>
      <c r="B20" s="14"/>
      <c r="C20" s="72"/>
      <c r="D20" s="67"/>
      <c r="E20" s="72"/>
      <c r="F20" s="67"/>
      <c r="G20" s="72"/>
    </row>
    <row r="21">
      <c r="A21" s="65"/>
      <c r="B21" s="17"/>
      <c r="C21" s="17"/>
      <c r="D21" s="60"/>
      <c r="E21" s="17"/>
      <c r="F21" s="60"/>
      <c r="G21" s="17"/>
    </row>
    <row r="22">
      <c r="A22" s="76">
        <f>A10</f>
        <v>2</v>
      </c>
      <c r="B22" s="14"/>
      <c r="C22" s="14"/>
      <c r="D22" s="14"/>
      <c r="E22" s="14"/>
      <c r="F22" s="14"/>
      <c r="G22" s="14"/>
    </row>
    <row r="23">
      <c r="A23" s="65"/>
      <c r="B23" s="78"/>
      <c r="C23" s="17"/>
      <c r="D23" s="17"/>
      <c r="E23" s="17"/>
      <c r="F23" s="17"/>
      <c r="G23" s="17"/>
    </row>
    <row r="24">
      <c r="A24" s="80"/>
      <c r="B24" s="14"/>
      <c r="C24" s="72"/>
      <c r="D24" s="67"/>
      <c r="E24" s="72"/>
      <c r="F24" s="67"/>
      <c r="G24" s="72"/>
    </row>
    <row r="25">
      <c r="A25" s="65"/>
      <c r="B25" s="17"/>
      <c r="C25" s="17"/>
      <c r="D25" s="60"/>
      <c r="E25" s="17"/>
      <c r="F25" s="60"/>
      <c r="G25" s="17"/>
    </row>
    <row r="26">
      <c r="A26" s="80"/>
      <c r="B26" s="14"/>
      <c r="C26" s="72"/>
      <c r="D26" s="67"/>
      <c r="E26" s="72"/>
      <c r="F26" s="67"/>
      <c r="G26" s="72"/>
    </row>
    <row r="27">
      <c r="A27" s="65"/>
      <c r="B27" s="17"/>
      <c r="C27" s="17"/>
      <c r="D27" s="60"/>
      <c r="E27" s="17"/>
      <c r="F27" s="60"/>
      <c r="G27" s="17"/>
    </row>
    <row r="28">
      <c r="A28" s="76">
        <f>A11</f>
        <v>3</v>
      </c>
      <c r="B28" s="14"/>
      <c r="C28" s="14"/>
      <c r="D28" s="14"/>
      <c r="E28" s="14"/>
      <c r="F28" s="14"/>
      <c r="G28" s="14"/>
    </row>
    <row r="29">
      <c r="A29" s="65"/>
      <c r="B29" s="78"/>
      <c r="C29" s="17"/>
      <c r="D29" s="17"/>
      <c r="E29" s="17"/>
      <c r="F29" s="17"/>
      <c r="G29" s="17"/>
    </row>
    <row r="30">
      <c r="A30" s="80"/>
      <c r="B30" s="14"/>
      <c r="C30" s="72"/>
      <c r="D30" s="67"/>
      <c r="E30" s="72"/>
      <c r="F30" s="72"/>
      <c r="G30" s="72"/>
    </row>
    <row r="31">
      <c r="A31" s="65"/>
      <c r="B31" s="17"/>
      <c r="C31" s="17"/>
      <c r="D31" s="60"/>
      <c r="E31" s="17"/>
      <c r="F31" s="17"/>
      <c r="G31" s="17"/>
    </row>
    <row r="32">
      <c r="A32" s="80"/>
      <c r="B32" s="14"/>
      <c r="C32" s="14"/>
      <c r="D32" s="67"/>
      <c r="E32" s="72"/>
      <c r="F32" s="72"/>
      <c r="G32" s="72"/>
    </row>
    <row r="33">
      <c r="A33" s="65"/>
      <c r="B33" s="17"/>
      <c r="C33" s="85" t="s">
        <v>202</v>
      </c>
      <c r="D33" s="60"/>
      <c r="E33" s="17"/>
      <c r="F33" s="17"/>
      <c r="G33" s="17"/>
    </row>
    <row r="34">
      <c r="A34" s="80"/>
      <c r="B34" s="14"/>
      <c r="C34" s="14"/>
      <c r="D34" s="14"/>
      <c r="E34" s="14"/>
      <c r="F34" s="14"/>
      <c r="G34" s="14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68" t="s">
        <v>52</v>
      </c>
      <c r="B1" s="48" t="s">
        <v>172</v>
      </c>
      <c r="C1" s="48" t="s">
        <v>173</v>
      </c>
      <c r="D1" s="69" t="s">
        <v>174</v>
      </c>
    </row>
    <row r="2">
      <c r="A2" s="4"/>
      <c r="B2" s="4"/>
      <c r="C2" s="4"/>
      <c r="D2" s="4"/>
    </row>
    <row r="3">
      <c r="A3" s="4"/>
      <c r="B3" s="4"/>
      <c r="C3" s="4"/>
      <c r="D3" s="4"/>
    </row>
    <row r="4">
      <c r="A4" s="4"/>
      <c r="B4" s="4"/>
      <c r="C4" s="4"/>
      <c r="D4" s="4"/>
    </row>
    <row r="5">
      <c r="A5" s="4"/>
      <c r="B5" s="4"/>
      <c r="C5" s="4"/>
      <c r="D5" s="4"/>
    </row>
    <row r="6">
      <c r="A6" s="4"/>
      <c r="B6" s="4"/>
      <c r="C6" s="4"/>
      <c r="D6" s="4"/>
    </row>
    <row r="7">
      <c r="A7" s="4"/>
      <c r="B7" s="4"/>
      <c r="C7" s="4"/>
      <c r="D7" s="4"/>
    </row>
    <row r="8">
      <c r="A8" s="4"/>
      <c r="B8" s="4"/>
      <c r="C8" s="4"/>
      <c r="D8" s="4"/>
    </row>
    <row r="9">
      <c r="A9" s="4"/>
      <c r="B9" s="4"/>
      <c r="C9" s="4"/>
      <c r="D9" s="4"/>
    </row>
    <row r="10">
      <c r="A10" s="4"/>
      <c r="B10" s="4"/>
      <c r="C10" s="4"/>
      <c r="D10" s="4"/>
    </row>
    <row r="11">
      <c r="A11" s="4"/>
      <c r="B11" s="4"/>
      <c r="C11" s="4"/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3" t="s">
        <v>170</v>
      </c>
      <c r="B1" s="3" t="s">
        <v>171</v>
      </c>
    </row>
    <row r="2">
      <c r="A2" s="4"/>
      <c r="B2" s="4"/>
    </row>
    <row r="3">
      <c r="A3" s="4"/>
      <c r="B3" s="4"/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9.5"/>
    <col customWidth="1" min="4" max="4" width="25.13"/>
    <col customWidth="1" min="5" max="5" width="37.63"/>
    <col customWidth="1" min="6" max="6" width="12.63"/>
    <col customWidth="1" min="7" max="12" width="37.63"/>
  </cols>
  <sheetData>
    <row r="1">
      <c r="A1" s="2" t="s">
        <v>52</v>
      </c>
      <c r="C1" s="3" t="s">
        <v>176</v>
      </c>
      <c r="D1" s="3" t="s">
        <v>177</v>
      </c>
      <c r="E1" s="3" t="s">
        <v>178</v>
      </c>
      <c r="F1" s="3" t="s">
        <v>179</v>
      </c>
      <c r="G1" s="3" t="s">
        <v>66</v>
      </c>
      <c r="H1" s="3"/>
      <c r="I1" s="3"/>
      <c r="J1" s="3"/>
      <c r="K1" s="3"/>
      <c r="L1" s="3"/>
    </row>
    <row r="2">
      <c r="A2" s="81" t="s">
        <v>52</v>
      </c>
      <c r="B2" s="81" t="s">
        <v>180</v>
      </c>
      <c r="C2" s="81" t="s">
        <v>170</v>
      </c>
      <c r="D2" s="81" t="s">
        <v>180</v>
      </c>
      <c r="E2" s="81" t="s">
        <v>178</v>
      </c>
      <c r="F2" s="81" t="s">
        <v>181</v>
      </c>
      <c r="G2" s="81" t="s">
        <v>182</v>
      </c>
      <c r="H2" s="81"/>
      <c r="I2" s="81"/>
      <c r="J2" s="81"/>
      <c r="K2" s="81"/>
      <c r="L2" s="81"/>
    </row>
    <row r="3">
      <c r="A3" s="82">
        <v>1.0</v>
      </c>
      <c r="B3" s="82" t="s">
        <v>183</v>
      </c>
      <c r="C3" s="82" t="s">
        <v>184</v>
      </c>
      <c r="D3" s="82" t="s">
        <v>183</v>
      </c>
      <c r="E3" s="82">
        <v>3.12</v>
      </c>
      <c r="F3" s="82" t="s">
        <v>185</v>
      </c>
      <c r="G3" s="82" t="s">
        <v>186</v>
      </c>
      <c r="H3" s="82"/>
      <c r="I3" s="82"/>
      <c r="J3" s="82"/>
      <c r="K3" s="82"/>
      <c r="L3" s="82"/>
    </row>
    <row r="4">
      <c r="A4" s="83">
        <v>2.0</v>
      </c>
      <c r="B4" s="83" t="s">
        <v>187</v>
      </c>
      <c r="C4" s="83" t="s">
        <v>188</v>
      </c>
      <c r="D4" s="83" t="s">
        <v>187</v>
      </c>
      <c r="E4" s="83" t="s">
        <v>189</v>
      </c>
      <c r="F4" s="83" t="s">
        <v>190</v>
      </c>
      <c r="G4" s="83" t="s">
        <v>191</v>
      </c>
      <c r="H4" s="83"/>
      <c r="I4" s="83"/>
      <c r="J4" s="83"/>
      <c r="K4" s="83"/>
      <c r="L4" s="83"/>
    </row>
    <row r="5">
      <c r="A5" s="83">
        <v>3.0</v>
      </c>
      <c r="B5" s="83" t="s">
        <v>192</v>
      </c>
      <c r="C5" s="83" t="s">
        <v>193</v>
      </c>
      <c r="D5" s="83" t="s">
        <v>192</v>
      </c>
      <c r="E5" s="83" t="s">
        <v>194</v>
      </c>
      <c r="F5" s="83" t="s">
        <v>195</v>
      </c>
      <c r="G5" s="83" t="s">
        <v>196</v>
      </c>
      <c r="H5" s="83"/>
      <c r="I5" s="83"/>
      <c r="J5" s="83"/>
      <c r="K5" s="83"/>
      <c r="L5" s="83"/>
    </row>
    <row r="6">
      <c r="A6" s="83">
        <v>4.0</v>
      </c>
      <c r="B6" s="83" t="s">
        <v>197</v>
      </c>
      <c r="C6" s="83" t="s">
        <v>193</v>
      </c>
      <c r="D6" s="83" t="s">
        <v>197</v>
      </c>
      <c r="E6" s="83" t="s">
        <v>198</v>
      </c>
      <c r="F6" s="83" t="s">
        <v>199</v>
      </c>
      <c r="G6" s="83" t="s">
        <v>200</v>
      </c>
      <c r="H6" s="83"/>
      <c r="I6" s="83"/>
      <c r="J6" s="83"/>
      <c r="K6" s="83"/>
      <c r="L6" s="83"/>
    </row>
    <row r="7">
      <c r="A7" s="83">
        <v>5.0</v>
      </c>
      <c r="B7" s="83" t="s">
        <v>201</v>
      </c>
      <c r="C7" s="83" t="s">
        <v>193</v>
      </c>
      <c r="D7" s="83" t="s">
        <v>201</v>
      </c>
      <c r="E7" s="83" t="s">
        <v>203</v>
      </c>
      <c r="F7" s="83" t="s">
        <v>204</v>
      </c>
      <c r="G7" s="83" t="s">
        <v>205</v>
      </c>
      <c r="H7" s="83"/>
      <c r="I7" s="83"/>
      <c r="J7" s="83"/>
      <c r="K7" s="83"/>
      <c r="L7" s="83"/>
    </row>
    <row r="8">
      <c r="A8" s="83">
        <v>6.0</v>
      </c>
      <c r="B8" s="83" t="s">
        <v>206</v>
      </c>
      <c r="C8" s="83" t="s">
        <v>193</v>
      </c>
      <c r="D8" s="83" t="s">
        <v>206</v>
      </c>
      <c r="E8" s="83" t="s">
        <v>189</v>
      </c>
      <c r="F8" s="83" t="s">
        <v>207</v>
      </c>
      <c r="G8" s="83" t="s">
        <v>208</v>
      </c>
      <c r="H8" s="83"/>
      <c r="I8" s="83"/>
      <c r="J8" s="83"/>
      <c r="K8" s="83"/>
      <c r="L8" s="83"/>
    </row>
    <row r="9">
      <c r="A9" s="83">
        <v>7.0</v>
      </c>
      <c r="B9" s="83" t="s">
        <v>209</v>
      </c>
      <c r="C9" s="83" t="s">
        <v>193</v>
      </c>
      <c r="D9" s="83" t="s">
        <v>209</v>
      </c>
      <c r="E9" s="83" t="s">
        <v>189</v>
      </c>
      <c r="F9" s="83" t="s">
        <v>210</v>
      </c>
      <c r="G9" s="83" t="s">
        <v>212</v>
      </c>
      <c r="H9" s="83"/>
      <c r="I9" s="83"/>
      <c r="J9" s="83"/>
      <c r="K9" s="83"/>
      <c r="L9" s="83"/>
    </row>
    <row r="10">
      <c r="A10" s="83">
        <v>8.0</v>
      </c>
      <c r="B10" s="83" t="s">
        <v>213</v>
      </c>
      <c r="C10" s="83" t="s">
        <v>193</v>
      </c>
      <c r="D10" s="83" t="s">
        <v>213</v>
      </c>
      <c r="E10" s="83" t="s">
        <v>189</v>
      </c>
      <c r="F10" s="83" t="s">
        <v>214</v>
      </c>
      <c r="G10" s="83" t="s">
        <v>215</v>
      </c>
      <c r="H10" s="83"/>
      <c r="I10" s="83"/>
      <c r="J10" s="83"/>
      <c r="K10" s="83"/>
      <c r="L10" s="83"/>
    </row>
    <row r="11">
      <c r="A11" s="83">
        <v>9.0</v>
      </c>
      <c r="B11" s="83" t="s">
        <v>216</v>
      </c>
      <c r="C11" s="83" t="s">
        <v>193</v>
      </c>
      <c r="D11" s="83" t="s">
        <v>216</v>
      </c>
      <c r="E11" s="83" t="s">
        <v>189</v>
      </c>
      <c r="F11" s="83" t="s">
        <v>217</v>
      </c>
      <c r="G11" s="83" t="s">
        <v>218</v>
      </c>
      <c r="H11" s="83"/>
      <c r="I11" s="83"/>
      <c r="J11" s="83"/>
      <c r="K11" s="83"/>
      <c r="L11" s="83"/>
    </row>
    <row r="12">
      <c r="A12" s="83">
        <v>10.0</v>
      </c>
      <c r="B12" s="83" t="s">
        <v>220</v>
      </c>
      <c r="C12" s="83" t="s">
        <v>193</v>
      </c>
      <c r="D12" s="83" t="s">
        <v>220</v>
      </c>
      <c r="E12" s="83" t="s">
        <v>189</v>
      </c>
      <c r="F12" s="83" t="s">
        <v>221</v>
      </c>
      <c r="G12" s="83" t="s">
        <v>222</v>
      </c>
      <c r="H12" s="83"/>
      <c r="I12" s="83"/>
      <c r="J12" s="83"/>
      <c r="K12" s="83"/>
      <c r="L12" s="83"/>
    </row>
    <row r="13">
      <c r="A13" s="83">
        <v>11.0</v>
      </c>
      <c r="B13" s="83" t="s">
        <v>223</v>
      </c>
      <c r="C13" s="83" t="s">
        <v>193</v>
      </c>
      <c r="D13" s="83" t="s">
        <v>223</v>
      </c>
      <c r="E13" s="83" t="s">
        <v>224</v>
      </c>
      <c r="F13" s="83" t="s">
        <v>226</v>
      </c>
      <c r="G13" s="83" t="s">
        <v>227</v>
      </c>
      <c r="H13" s="83"/>
      <c r="I13" s="83"/>
      <c r="J13" s="83"/>
      <c r="K13" s="83"/>
      <c r="L13" s="83"/>
    </row>
    <row r="14">
      <c r="A14" s="83">
        <v>12.0</v>
      </c>
      <c r="B14" s="83" t="s">
        <v>228</v>
      </c>
      <c r="C14" s="83" t="s">
        <v>193</v>
      </c>
      <c r="D14" s="83" t="s">
        <v>228</v>
      </c>
      <c r="E14" s="83" t="s">
        <v>189</v>
      </c>
      <c r="F14" s="83" t="s">
        <v>229</v>
      </c>
      <c r="G14" s="83" t="s">
        <v>230</v>
      </c>
      <c r="H14" s="83"/>
      <c r="I14" s="83"/>
      <c r="J14" s="83"/>
      <c r="K14" s="83"/>
      <c r="L14" s="83"/>
    </row>
    <row r="15">
      <c r="A15" s="83">
        <v>13.0</v>
      </c>
      <c r="B15" s="83" t="s">
        <v>231</v>
      </c>
      <c r="C15" s="83" t="s">
        <v>193</v>
      </c>
      <c r="D15" s="83" t="s">
        <v>231</v>
      </c>
      <c r="E15" s="83" t="s">
        <v>189</v>
      </c>
      <c r="F15" s="83" t="s">
        <v>232</v>
      </c>
      <c r="G15" s="83" t="s">
        <v>233</v>
      </c>
      <c r="H15" s="83"/>
      <c r="I15" s="83"/>
      <c r="J15" s="83"/>
      <c r="K15" s="83"/>
      <c r="L15" s="83"/>
    </row>
    <row r="16">
      <c r="A16" s="83">
        <v>14.0</v>
      </c>
      <c r="B16" s="83" t="s">
        <v>234</v>
      </c>
      <c r="C16" s="83" t="s">
        <v>184</v>
      </c>
      <c r="D16" s="83" t="s">
        <v>234</v>
      </c>
      <c r="E16" s="83" t="s">
        <v>236</v>
      </c>
      <c r="F16" s="83" t="s">
        <v>221</v>
      </c>
      <c r="G16" s="83" t="s">
        <v>237</v>
      </c>
      <c r="H16" s="83"/>
      <c r="I16" s="83"/>
      <c r="J16" s="83"/>
      <c r="K16" s="83"/>
      <c r="L16" s="83"/>
    </row>
    <row r="17">
      <c r="A17" s="83">
        <v>15.0</v>
      </c>
      <c r="B17" s="83" t="s">
        <v>238</v>
      </c>
      <c r="C17" s="83" t="s">
        <v>184</v>
      </c>
      <c r="D17" s="83" t="s">
        <v>238</v>
      </c>
      <c r="E17" s="83" t="s">
        <v>239</v>
      </c>
      <c r="F17" s="83" t="s">
        <v>240</v>
      </c>
      <c r="G17" s="83" t="s">
        <v>241</v>
      </c>
      <c r="H17" s="83"/>
      <c r="I17" s="83"/>
      <c r="J17" s="83"/>
      <c r="K17" s="83"/>
      <c r="L17" s="83"/>
    </row>
    <row r="18">
      <c r="A18" s="83">
        <v>16.0</v>
      </c>
      <c r="B18" s="83" t="s">
        <v>242</v>
      </c>
      <c r="C18" s="83" t="s">
        <v>184</v>
      </c>
      <c r="D18" s="83" t="s">
        <v>242</v>
      </c>
      <c r="E18" s="83" t="s">
        <v>243</v>
      </c>
      <c r="F18" s="83" t="s">
        <v>244</v>
      </c>
      <c r="G18" s="83" t="s">
        <v>245</v>
      </c>
      <c r="H18" s="83"/>
      <c r="I18" s="83"/>
      <c r="J18" s="83"/>
      <c r="K18" s="83"/>
      <c r="L18" s="83"/>
    </row>
    <row r="19">
      <c r="A19" s="83">
        <v>17.0</v>
      </c>
      <c r="B19" s="83" t="s">
        <v>246</v>
      </c>
      <c r="C19" s="83" t="s">
        <v>193</v>
      </c>
      <c r="D19" s="83" t="s">
        <v>246</v>
      </c>
      <c r="E19" s="83" t="s">
        <v>189</v>
      </c>
      <c r="F19" s="83" t="s">
        <v>247</v>
      </c>
      <c r="G19" s="83" t="s">
        <v>248</v>
      </c>
      <c r="H19" s="83"/>
      <c r="I19" s="83"/>
      <c r="J19" s="83"/>
      <c r="K19" s="83"/>
      <c r="L19" s="83"/>
    </row>
    <row r="20">
      <c r="A20" s="83">
        <v>18.0</v>
      </c>
      <c r="B20" s="83" t="s">
        <v>249</v>
      </c>
      <c r="C20" s="83" t="s">
        <v>184</v>
      </c>
      <c r="D20" s="83" t="s">
        <v>249</v>
      </c>
      <c r="E20" s="83" t="s">
        <v>250</v>
      </c>
      <c r="F20" s="83" t="s">
        <v>251</v>
      </c>
      <c r="G20" s="83" t="s">
        <v>252</v>
      </c>
      <c r="H20" s="83"/>
      <c r="I20" s="83"/>
      <c r="J20" s="83"/>
      <c r="K20" s="83"/>
      <c r="L20" s="83"/>
    </row>
    <row r="21">
      <c r="A21" s="83">
        <v>19.0</v>
      </c>
      <c r="B21" s="83" t="s">
        <v>253</v>
      </c>
      <c r="C21" s="83" t="s">
        <v>184</v>
      </c>
      <c r="D21" s="83" t="s">
        <v>253</v>
      </c>
      <c r="E21" s="83" t="s">
        <v>254</v>
      </c>
      <c r="F21" s="83" t="s">
        <v>229</v>
      </c>
      <c r="G21" s="83" t="s">
        <v>255</v>
      </c>
      <c r="H21" s="83"/>
      <c r="I21" s="83"/>
      <c r="J21" s="83"/>
      <c r="K21" s="83"/>
      <c r="L21" s="83"/>
    </row>
    <row r="22">
      <c r="A22" s="83">
        <v>20.0</v>
      </c>
      <c r="B22" s="83" t="s">
        <v>256</v>
      </c>
      <c r="C22" s="83" t="s">
        <v>188</v>
      </c>
      <c r="D22" s="83" t="s">
        <v>256</v>
      </c>
      <c r="E22" s="83" t="s">
        <v>189</v>
      </c>
      <c r="F22" s="83" t="s">
        <v>258</v>
      </c>
      <c r="G22" s="83" t="s">
        <v>259</v>
      </c>
      <c r="H22" s="83"/>
      <c r="I22" s="83"/>
      <c r="J22" s="83"/>
      <c r="K22" s="83"/>
      <c r="L22" s="83"/>
    </row>
    <row r="23">
      <c r="A23" s="83">
        <v>21.0</v>
      </c>
      <c r="B23" s="83" t="s">
        <v>260</v>
      </c>
      <c r="C23" s="83" t="s">
        <v>261</v>
      </c>
      <c r="D23" s="83" t="s">
        <v>260</v>
      </c>
      <c r="E23" s="83" t="s">
        <v>262</v>
      </c>
      <c r="F23" s="83" t="s">
        <v>263</v>
      </c>
      <c r="G23" s="83" t="s">
        <v>264</v>
      </c>
      <c r="H23" s="83"/>
      <c r="I23" s="83"/>
      <c r="J23" s="83"/>
      <c r="K23" s="83"/>
      <c r="L23" s="83"/>
    </row>
    <row r="24">
      <c r="A24" s="83">
        <v>22.0</v>
      </c>
      <c r="B24" s="83" t="s">
        <v>265</v>
      </c>
      <c r="C24" s="83" t="s">
        <v>261</v>
      </c>
      <c r="D24" s="83" t="s">
        <v>265</v>
      </c>
      <c r="E24" s="83" t="s">
        <v>262</v>
      </c>
      <c r="F24" s="83" t="s">
        <v>266</v>
      </c>
      <c r="G24" s="83" t="s">
        <v>267</v>
      </c>
      <c r="H24" s="83"/>
      <c r="I24" s="83"/>
      <c r="J24" s="83"/>
      <c r="K24" s="83"/>
      <c r="L24" s="83"/>
    </row>
    <row r="25">
      <c r="A25" s="83">
        <v>23.0</v>
      </c>
      <c r="B25" s="83" t="s">
        <v>268</v>
      </c>
      <c r="C25" s="83" t="s">
        <v>193</v>
      </c>
      <c r="D25" s="83" t="s">
        <v>268</v>
      </c>
      <c r="E25" s="83" t="s">
        <v>189</v>
      </c>
      <c r="F25" s="83" t="s">
        <v>269</v>
      </c>
      <c r="G25" s="83" t="s">
        <v>270</v>
      </c>
      <c r="H25" s="83"/>
      <c r="I25" s="83"/>
      <c r="J25" s="83"/>
      <c r="K25" s="83"/>
      <c r="L25" s="83"/>
    </row>
    <row r="26">
      <c r="A26" s="83">
        <v>24.0</v>
      </c>
      <c r="B26" s="83" t="s">
        <v>272</v>
      </c>
      <c r="C26" s="83" t="s">
        <v>188</v>
      </c>
      <c r="D26" s="83" t="s">
        <v>272</v>
      </c>
      <c r="E26" s="83" t="s">
        <v>189</v>
      </c>
      <c r="F26" s="83" t="s">
        <v>274</v>
      </c>
      <c r="G26" s="83" t="s">
        <v>275</v>
      </c>
      <c r="H26" s="83"/>
      <c r="I26" s="83"/>
      <c r="J26" s="83"/>
      <c r="K26" s="83"/>
      <c r="L26" s="83"/>
    </row>
    <row r="27">
      <c r="A27" s="83">
        <v>25.0</v>
      </c>
      <c r="B27" s="83" t="s">
        <v>276</v>
      </c>
      <c r="C27" s="83" t="s">
        <v>188</v>
      </c>
      <c r="D27" s="83" t="s">
        <v>276</v>
      </c>
      <c r="E27" s="83" t="s">
        <v>189</v>
      </c>
      <c r="F27" s="83" t="s">
        <v>277</v>
      </c>
      <c r="G27" s="83" t="s">
        <v>278</v>
      </c>
      <c r="H27" s="83"/>
      <c r="I27" s="83"/>
      <c r="J27" s="83"/>
      <c r="K27" s="83"/>
      <c r="L27" s="83"/>
    </row>
    <row r="28">
      <c r="A28" s="83">
        <v>26.0</v>
      </c>
      <c r="B28" s="83" t="s">
        <v>279</v>
      </c>
      <c r="C28" s="83" t="s">
        <v>188</v>
      </c>
      <c r="D28" s="83" t="s">
        <v>279</v>
      </c>
      <c r="E28" s="83" t="s">
        <v>189</v>
      </c>
      <c r="F28" s="83" t="s">
        <v>280</v>
      </c>
      <c r="G28" s="83" t="s">
        <v>281</v>
      </c>
      <c r="H28" s="83"/>
      <c r="I28" s="83"/>
      <c r="J28" s="83"/>
      <c r="K28" s="83"/>
      <c r="L28" s="83"/>
    </row>
    <row r="29">
      <c r="A29" s="83">
        <v>27.0</v>
      </c>
      <c r="B29" s="83" t="s">
        <v>282</v>
      </c>
      <c r="C29" s="83" t="s">
        <v>184</v>
      </c>
      <c r="D29" s="83" t="s">
        <v>282</v>
      </c>
      <c r="E29" s="83" t="s">
        <v>283</v>
      </c>
      <c r="F29" s="83" t="s">
        <v>284</v>
      </c>
      <c r="G29" s="83" t="s">
        <v>285</v>
      </c>
      <c r="H29" s="83"/>
      <c r="I29" s="83"/>
      <c r="J29" s="83"/>
      <c r="K29" s="83"/>
      <c r="L29" s="83"/>
    </row>
    <row r="30">
      <c r="A30" s="83">
        <v>28.0</v>
      </c>
      <c r="B30" s="83" t="s">
        <v>286</v>
      </c>
      <c r="C30" s="83" t="s">
        <v>184</v>
      </c>
      <c r="D30" s="83" t="s">
        <v>286</v>
      </c>
      <c r="E30" s="83" t="s">
        <v>283</v>
      </c>
      <c r="F30" s="83" t="s">
        <v>287</v>
      </c>
      <c r="G30" s="83" t="s">
        <v>288</v>
      </c>
      <c r="H30" s="83"/>
      <c r="I30" s="83"/>
      <c r="J30" s="83"/>
      <c r="K30" s="83"/>
      <c r="L30" s="83"/>
    </row>
    <row r="31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</row>
    <row r="32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</row>
    <row r="3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</row>
    <row r="34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</row>
    <row r="3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</row>
    <row r="36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</row>
    <row r="37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</row>
    <row r="3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</row>
    <row r="39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</row>
    <row r="40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</row>
    <row r="41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</row>
    <row r="42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</row>
    <row r="43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</row>
    <row r="44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</row>
    <row r="4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</row>
    <row r="46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</row>
    <row r="47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</row>
    <row r="4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</row>
    <row r="49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</row>
    <row r="50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</row>
    <row r="51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</row>
    <row r="52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</row>
    <row r="5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</row>
    <row r="54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</row>
    <row r="5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</row>
    <row r="56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</row>
    <row r="57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</row>
    <row r="58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</row>
    <row r="59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</row>
    <row r="60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</row>
    <row r="61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</row>
    <row r="62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</row>
    <row r="63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</row>
    <row r="64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</row>
    <row r="6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</row>
    <row r="66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</row>
    <row r="67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</row>
    <row r="68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</row>
    <row r="69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</row>
    <row r="70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</row>
    <row r="71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</row>
    <row r="72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</row>
    <row r="73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</row>
    <row r="74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</row>
    <row r="7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</row>
    <row r="76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</row>
    <row r="77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</row>
    <row r="78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</row>
    <row r="79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</row>
    <row r="80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</row>
    <row r="81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</row>
    <row r="83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4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</row>
    <row r="8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</row>
    <row r="86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</row>
    <row r="87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</row>
    <row r="88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</row>
    <row r="89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</row>
    <row r="90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</row>
    <row r="91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</row>
    <row r="92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</row>
    <row r="93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</row>
    <row r="94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</row>
    <row r="9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</row>
    <row r="96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</row>
    <row r="97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</row>
    <row r="98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</row>
    <row r="99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</row>
    <row r="100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</row>
    <row r="101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</row>
    <row r="102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</row>
    <row r="103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</row>
    <row r="104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</row>
    <row r="10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</row>
    <row r="10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</row>
    <row r="107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</row>
    <row r="11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</row>
    <row r="11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</row>
    <row r="11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</row>
    <row r="114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</row>
    <row r="11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</row>
    <row r="11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</row>
    <row r="117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</row>
    <row r="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</row>
    <row r="12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</row>
    <row r="12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</row>
    <row r="12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</row>
    <row r="137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</row>
    <row r="138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</row>
    <row r="139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</row>
    <row r="140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</row>
    <row r="141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</row>
    <row r="142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</row>
    <row r="143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</row>
    <row r="144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</row>
    <row r="14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</row>
    <row r="146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</row>
    <row r="147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</row>
    <row r="148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</row>
    <row r="149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</row>
    <row r="150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</row>
    <row r="151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</row>
    <row r="152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</row>
    <row r="153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</row>
    <row r="154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</row>
    <row r="15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</row>
    <row r="156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</row>
    <row r="157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</row>
    <row r="158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</row>
    <row r="159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</row>
    <row r="160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</row>
    <row r="161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</row>
    <row r="162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</row>
    <row r="163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</row>
    <row r="164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</row>
    <row r="16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</row>
    <row r="166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</row>
    <row r="167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</row>
    <row r="168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</row>
    <row r="169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</row>
    <row r="170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</row>
    <row r="17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</row>
    <row r="172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</row>
    <row r="173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</row>
    <row r="174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</row>
    <row r="17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</row>
    <row r="176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</row>
    <row r="177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</row>
    <row r="178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</row>
    <row r="179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</row>
    <row r="180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</row>
    <row r="181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</row>
    <row r="182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</row>
    <row r="183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</row>
    <row r="184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</row>
    <row r="18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</row>
    <row r="186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</row>
    <row r="187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</row>
    <row r="188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</row>
    <row r="189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</row>
    <row r="190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</row>
    <row r="191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</row>
    <row r="192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</row>
    <row r="193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</row>
    <row r="194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</row>
    <row r="19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</row>
    <row r="196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</row>
    <row r="197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</row>
    <row r="198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</row>
    <row r="199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</row>
    <row r="200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</row>
    <row r="201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</row>
    <row r="202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</row>
    <row r="203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</row>
    <row r="204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</row>
    <row r="20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</row>
    <row r="206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</row>
    <row r="207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</row>
    <row r="208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</row>
    <row r="209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</row>
    <row r="210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</row>
    <row r="211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</row>
    <row r="212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</row>
    <row r="213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</row>
    <row r="214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</row>
    <row r="21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</row>
    <row r="216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</row>
    <row r="217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</row>
    <row r="218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</row>
    <row r="219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</row>
    <row r="220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</row>
    <row r="221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</row>
    <row r="222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</row>
    <row r="223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</row>
    <row r="224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</row>
    <row r="2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</row>
    <row r="226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</row>
    <row r="227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</row>
    <row r="228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</row>
    <row r="229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</row>
    <row r="230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</row>
    <row r="231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</row>
    <row r="232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</row>
    <row r="233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</row>
    <row r="234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</row>
    <row r="23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</row>
    <row r="236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</row>
    <row r="237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</row>
    <row r="238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</row>
    <row r="239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</row>
    <row r="240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</row>
    <row r="241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</row>
    <row r="242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</row>
    <row r="243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</row>
    <row r="244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</row>
    <row r="24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</row>
    <row r="246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</row>
    <row r="247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</row>
    <row r="248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</row>
    <row r="249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</row>
    <row r="250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</row>
    <row r="251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</row>
    <row r="252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</row>
    <row r="253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</row>
    <row r="254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</row>
    <row r="25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</row>
    <row r="256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</row>
    <row r="257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</row>
    <row r="258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</row>
    <row r="259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</row>
    <row r="260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</row>
    <row r="261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</row>
    <row r="262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</row>
    <row r="263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</row>
    <row r="264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</row>
    <row r="26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</row>
    <row r="266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</row>
    <row r="267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</row>
    <row r="268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</row>
    <row r="269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</row>
    <row r="270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</row>
    <row r="271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</row>
    <row r="272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</row>
    <row r="273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</row>
    <row r="274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</row>
    <row r="27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</row>
    <row r="276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</row>
    <row r="277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</row>
    <row r="278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</row>
    <row r="279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</row>
    <row r="280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</row>
    <row r="281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</row>
    <row r="282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</row>
    <row r="283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</row>
    <row r="284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</row>
    <row r="28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</row>
    <row r="286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</row>
    <row r="287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</row>
    <row r="288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</row>
    <row r="289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</row>
    <row r="290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</row>
    <row r="291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</row>
    <row r="292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</row>
    <row r="293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</row>
    <row r="294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</row>
    <row r="29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</row>
    <row r="296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</row>
    <row r="297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</row>
    <row r="298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</row>
    <row r="299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</row>
    <row r="300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</row>
    <row r="301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</row>
    <row r="302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</row>
    <row r="303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</row>
    <row r="304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</row>
    <row r="30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</row>
    <row r="306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</row>
    <row r="307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</row>
    <row r="308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</row>
    <row r="309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</row>
    <row r="310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</row>
    <row r="311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</row>
    <row r="312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</row>
    <row r="313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</row>
    <row r="314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</row>
    <row r="31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</row>
    <row r="316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</row>
    <row r="317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</row>
    <row r="318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</row>
    <row r="319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</row>
    <row r="320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</row>
    <row r="321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</row>
    <row r="322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</row>
    <row r="323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</row>
    <row r="324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</row>
    <row r="3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</row>
    <row r="326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</row>
    <row r="327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</row>
    <row r="328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</row>
    <row r="329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</row>
    <row r="330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</row>
    <row r="331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</row>
    <row r="332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</row>
    <row r="333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</row>
    <row r="334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</row>
    <row r="33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</row>
    <row r="336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</row>
    <row r="337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</row>
    <row r="338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</row>
    <row r="339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</row>
    <row r="340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</row>
    <row r="341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</row>
    <row r="342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</row>
    <row r="343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</row>
    <row r="344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</row>
    <row r="34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</row>
    <row r="346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</row>
    <row r="347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</row>
    <row r="348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</row>
    <row r="349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</row>
    <row r="350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</row>
    <row r="351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</row>
    <row r="352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</row>
    <row r="353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</row>
    <row r="354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</row>
    <row r="35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</row>
    <row r="356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</row>
    <row r="357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</row>
    <row r="358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</row>
    <row r="359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</row>
    <row r="360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</row>
    <row r="361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</row>
    <row r="362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</row>
    <row r="363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</row>
    <row r="364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</row>
    <row r="36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</row>
    <row r="366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</row>
    <row r="367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</row>
    <row r="368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</row>
    <row r="369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</row>
    <row r="370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</row>
    <row r="371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</row>
    <row r="372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</row>
    <row r="373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</row>
    <row r="374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</row>
    <row r="37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</row>
    <row r="376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</row>
    <row r="377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</row>
    <row r="378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</row>
    <row r="379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</row>
    <row r="380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</row>
    <row r="381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</row>
    <row r="382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</row>
    <row r="383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</row>
    <row r="384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</row>
    <row r="38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</row>
    <row r="386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</row>
    <row r="387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</row>
    <row r="388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</row>
    <row r="389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</row>
    <row r="390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</row>
    <row r="391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</row>
    <row r="392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</row>
    <row r="393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</row>
    <row r="394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</row>
    <row r="39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</row>
    <row r="396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</row>
    <row r="397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</row>
    <row r="398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</row>
    <row r="399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</row>
    <row r="400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</row>
    <row r="401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</row>
    <row r="402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</row>
    <row r="403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</row>
    <row r="404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</row>
    <row r="40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</row>
    <row r="406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</row>
    <row r="407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</row>
    <row r="408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</row>
    <row r="409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</row>
    <row r="410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</row>
    <row r="411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</row>
    <row r="412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</row>
    <row r="413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</row>
    <row r="414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</row>
    <row r="41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</row>
    <row r="416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</row>
    <row r="417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</row>
    <row r="418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</row>
    <row r="419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</row>
    <row r="420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</row>
    <row r="421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</row>
    <row r="422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</row>
    <row r="423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</row>
    <row r="424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</row>
    <row r="4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</row>
    <row r="426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</row>
    <row r="427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</row>
    <row r="428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</row>
    <row r="429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</row>
    <row r="430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</row>
    <row r="431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</row>
    <row r="432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</row>
    <row r="433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</row>
    <row r="434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</row>
    <row r="43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</row>
    <row r="436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</row>
    <row r="437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</row>
    <row r="438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</row>
    <row r="439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</row>
    <row r="440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</row>
    <row r="441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</row>
    <row r="442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</row>
    <row r="443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</row>
    <row r="444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</row>
    <row r="44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</row>
    <row r="446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</row>
    <row r="447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</row>
    <row r="448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</row>
    <row r="449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</row>
    <row r="450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</row>
    <row r="451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</row>
    <row r="452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</row>
    <row r="453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</row>
    <row r="454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</row>
    <row r="45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</row>
    <row r="456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</row>
    <row r="457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</row>
    <row r="458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</row>
    <row r="459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</row>
    <row r="460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</row>
    <row r="461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</row>
    <row r="462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</row>
    <row r="463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</row>
    <row r="464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</row>
    <row r="46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</row>
    <row r="466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</row>
    <row r="467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</row>
    <row r="468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</row>
    <row r="469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</row>
    <row r="470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</row>
    <row r="471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</row>
    <row r="472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</row>
    <row r="473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</row>
    <row r="474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</row>
    <row r="47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</row>
    <row r="476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</row>
    <row r="477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</row>
    <row r="478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</row>
    <row r="479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</row>
    <row r="480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</row>
    <row r="481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</row>
    <row r="482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</row>
    <row r="483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</row>
    <row r="484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</row>
    <row r="48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</row>
    <row r="486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</row>
    <row r="487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</row>
    <row r="488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</row>
    <row r="489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</row>
    <row r="490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</row>
    <row r="491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</row>
    <row r="492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</row>
    <row r="493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</row>
    <row r="494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</row>
    <row r="49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</row>
    <row r="496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</row>
    <row r="497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</row>
    <row r="498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</row>
    <row r="499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</row>
    <row r="500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</row>
    <row r="501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</row>
    <row r="502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</row>
    <row r="503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</row>
    <row r="504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</row>
    <row r="50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</row>
    <row r="506">
      <c r="A506" s="82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</row>
    <row r="507">
      <c r="A507" s="82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</row>
    <row r="508">
      <c r="A508" s="82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</row>
    <row r="509">
      <c r="A509" s="82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</row>
    <row r="510">
      <c r="A510" s="82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</row>
    <row r="511">
      <c r="A511" s="82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</row>
    <row r="512">
      <c r="A512" s="82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</row>
    <row r="513">
      <c r="A513" s="82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</row>
    <row r="514">
      <c r="A514" s="82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</row>
    <row r="515">
      <c r="A515" s="82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</row>
    <row r="516">
      <c r="A516" s="82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</row>
    <row r="517">
      <c r="A517" s="82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</row>
    <row r="518">
      <c r="A518" s="82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</row>
    <row r="519">
      <c r="A519" s="82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</row>
    <row r="520">
      <c r="A520" s="82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</row>
    <row r="521">
      <c r="A521" s="82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</row>
    <row r="522">
      <c r="A522" s="82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</row>
    <row r="523">
      <c r="A523" s="82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</row>
    <row r="524">
      <c r="A524" s="82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</row>
    <row r="525">
      <c r="A525" s="82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</row>
    <row r="526">
      <c r="A526" s="82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</row>
    <row r="527">
      <c r="A527" s="82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</row>
    <row r="528">
      <c r="A528" s="82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</row>
    <row r="529">
      <c r="A529" s="82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</row>
    <row r="530">
      <c r="A530" s="82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</row>
    <row r="531">
      <c r="A531" s="82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</row>
    <row r="532">
      <c r="A532" s="82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</row>
    <row r="533">
      <c r="A533" s="82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</row>
    <row r="534">
      <c r="A534" s="82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</row>
    <row r="535">
      <c r="A535" s="82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</row>
    <row r="536">
      <c r="A536" s="82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</row>
    <row r="537">
      <c r="A537" s="82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</row>
    <row r="538">
      <c r="A538" s="82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</row>
    <row r="539">
      <c r="A539" s="82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</row>
    <row r="540">
      <c r="A540" s="82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</row>
    <row r="541">
      <c r="A541" s="82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</row>
    <row r="542">
      <c r="A542" s="82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</row>
    <row r="543">
      <c r="A543" s="82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</row>
    <row r="544">
      <c r="A544" s="82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</row>
    <row r="545">
      <c r="A545" s="82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</row>
    <row r="546">
      <c r="A546" s="82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</row>
    <row r="547">
      <c r="A547" s="82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</row>
    <row r="548">
      <c r="A548" s="82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</row>
    <row r="549">
      <c r="A549" s="82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</row>
    <row r="550">
      <c r="A550" s="82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</row>
    <row r="551">
      <c r="A551" s="82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</row>
    <row r="552">
      <c r="A552" s="82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</row>
    <row r="553">
      <c r="A553" s="82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</row>
    <row r="554">
      <c r="A554" s="82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</row>
    <row r="555">
      <c r="A555" s="82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</row>
    <row r="556">
      <c r="A556" s="82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</row>
    <row r="557">
      <c r="A557" s="82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</row>
    <row r="558">
      <c r="A558" s="82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</row>
    <row r="559">
      <c r="A559" s="82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</row>
    <row r="560">
      <c r="A560" s="82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</row>
    <row r="561">
      <c r="A561" s="82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</row>
    <row r="562">
      <c r="A562" s="82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</row>
    <row r="563">
      <c r="A563" s="82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</row>
    <row r="564">
      <c r="A564" s="82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</row>
    <row r="565">
      <c r="A565" s="82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</row>
    <row r="566">
      <c r="A566" s="82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</row>
    <row r="567">
      <c r="A567" s="82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</row>
    <row r="568">
      <c r="A568" s="82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</row>
    <row r="569">
      <c r="A569" s="82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</row>
    <row r="570">
      <c r="A570" s="82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</row>
    <row r="571">
      <c r="A571" s="82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</row>
    <row r="572">
      <c r="A572" s="82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</row>
    <row r="573">
      <c r="A573" s="82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</row>
    <row r="574">
      <c r="A574" s="82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</row>
    <row r="575">
      <c r="A575" s="82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</row>
    <row r="576">
      <c r="A576" s="82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</row>
    <row r="577">
      <c r="A577" s="82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</row>
    <row r="578">
      <c r="A578" s="82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</row>
    <row r="579">
      <c r="A579" s="82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</row>
    <row r="580">
      <c r="A580" s="82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</row>
    <row r="581">
      <c r="A581" s="82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</row>
    <row r="582">
      <c r="A582" s="82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</row>
    <row r="583">
      <c r="A583" s="82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</row>
    <row r="584">
      <c r="A584" s="82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</row>
    <row r="585">
      <c r="A585" s="82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</row>
    <row r="586">
      <c r="A586" s="82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</row>
    <row r="587">
      <c r="A587" s="82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</row>
    <row r="588">
      <c r="A588" s="82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</row>
    <row r="589">
      <c r="A589" s="82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</row>
    <row r="590">
      <c r="A590" s="82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</row>
    <row r="591">
      <c r="A591" s="82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</row>
    <row r="592">
      <c r="A592" s="82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</row>
    <row r="593">
      <c r="A593" s="82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</row>
    <row r="594">
      <c r="A594" s="82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</row>
    <row r="595">
      <c r="A595" s="82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  <c r="J1000" s="82"/>
      <c r="K1000" s="82"/>
      <c r="L1000" s="82"/>
    </row>
    <row r="1001">
      <c r="A1001" s="82"/>
      <c r="B1001" s="82"/>
      <c r="C1001" s="82"/>
      <c r="D1001" s="82"/>
      <c r="E1001" s="82"/>
      <c r="F1001" s="82"/>
      <c r="G1001" s="82"/>
      <c r="H1001" s="82"/>
      <c r="I1001" s="82"/>
      <c r="J1001" s="82"/>
      <c r="K1001" s="82"/>
      <c r="L1001" s="82"/>
    </row>
    <row r="1002">
      <c r="A1002" s="82"/>
      <c r="B1002" s="82"/>
      <c r="C1002" s="82"/>
      <c r="D1002" s="82"/>
      <c r="E1002" s="82"/>
      <c r="F1002" s="82"/>
      <c r="G1002" s="82"/>
      <c r="H1002" s="82"/>
      <c r="I1002" s="82"/>
      <c r="J1002" s="82"/>
      <c r="K1002" s="82"/>
      <c r="L1002" s="82"/>
    </row>
    <row r="1003">
      <c r="A1003" s="82"/>
      <c r="B1003" s="82"/>
      <c r="C1003" s="82"/>
      <c r="D1003" s="82"/>
      <c r="E1003" s="82"/>
      <c r="F1003" s="82"/>
      <c r="G1003" s="82"/>
      <c r="H1003" s="82"/>
      <c r="I1003" s="82"/>
      <c r="J1003" s="82"/>
      <c r="K1003" s="82"/>
      <c r="L1003" s="82"/>
    </row>
    <row r="1004">
      <c r="A1004" s="82"/>
      <c r="B1004" s="82"/>
      <c r="C1004" s="82"/>
      <c r="D1004" s="82"/>
      <c r="E1004" s="82"/>
      <c r="F1004" s="82"/>
      <c r="G1004" s="82"/>
      <c r="H1004" s="82"/>
      <c r="I1004" s="82"/>
      <c r="J1004" s="82"/>
      <c r="K1004" s="82"/>
      <c r="L1004" s="82"/>
    </row>
    <row r="1005">
      <c r="A1005" s="82"/>
      <c r="B1005" s="82"/>
      <c r="C1005" s="82"/>
      <c r="D1005" s="82"/>
      <c r="E1005" s="82"/>
      <c r="F1005" s="82"/>
      <c r="G1005" s="82"/>
      <c r="H1005" s="82"/>
      <c r="I1005" s="82"/>
      <c r="J1005" s="82"/>
      <c r="K1005" s="82"/>
      <c r="L1005" s="82"/>
    </row>
    <row r="1006">
      <c r="A1006" s="82"/>
      <c r="B1006" s="82"/>
      <c r="C1006" s="82"/>
      <c r="D1006" s="82"/>
      <c r="E1006" s="82"/>
      <c r="F1006" s="82"/>
      <c r="G1006" s="82"/>
      <c r="H1006" s="82"/>
      <c r="I1006" s="82"/>
      <c r="J1006" s="82"/>
      <c r="K1006" s="82"/>
      <c r="L1006" s="82"/>
    </row>
    <row r="1007">
      <c r="A1007" s="82"/>
      <c r="B1007" s="82"/>
      <c r="C1007" s="82"/>
      <c r="D1007" s="82"/>
      <c r="E1007" s="82"/>
      <c r="F1007" s="82"/>
      <c r="G1007" s="82"/>
      <c r="H1007" s="82"/>
      <c r="I1007" s="82"/>
      <c r="J1007" s="82"/>
      <c r="K1007" s="82"/>
      <c r="L1007" s="82"/>
    </row>
    <row r="1008">
      <c r="A1008" s="82"/>
      <c r="B1008" s="82"/>
      <c r="C1008" s="82"/>
      <c r="D1008" s="82"/>
      <c r="E1008" s="82"/>
      <c r="F1008" s="82"/>
      <c r="G1008" s="82"/>
      <c r="H1008" s="82"/>
      <c r="I1008" s="82"/>
      <c r="J1008" s="82"/>
      <c r="K1008" s="82"/>
      <c r="L1008" s="82"/>
    </row>
    <row r="1009">
      <c r="A1009" s="82"/>
      <c r="B1009" s="82"/>
      <c r="C1009" s="82"/>
      <c r="D1009" s="82"/>
      <c r="E1009" s="82"/>
      <c r="F1009" s="82"/>
      <c r="G1009" s="82"/>
      <c r="H1009" s="82"/>
      <c r="I1009" s="82"/>
      <c r="J1009" s="82"/>
      <c r="K1009" s="82"/>
      <c r="L1009" s="82"/>
    </row>
    <row r="1010">
      <c r="A1010" s="82"/>
      <c r="B1010" s="82"/>
      <c r="C1010" s="82"/>
      <c r="D1010" s="82"/>
      <c r="E1010" s="82"/>
      <c r="F1010" s="82"/>
      <c r="G1010" s="82"/>
      <c r="H1010" s="82"/>
      <c r="I1010" s="82"/>
      <c r="J1010" s="82"/>
      <c r="K1010" s="82"/>
      <c r="L1010" s="82"/>
    </row>
    <row r="1011">
      <c r="A1011" s="82"/>
      <c r="B1011" s="82"/>
      <c r="C1011" s="82"/>
      <c r="D1011" s="82"/>
      <c r="E1011" s="82"/>
      <c r="F1011" s="82"/>
      <c r="G1011" s="82"/>
      <c r="H1011" s="82"/>
      <c r="I1011" s="82"/>
      <c r="J1011" s="82"/>
      <c r="K1011" s="82"/>
      <c r="L1011" s="82"/>
    </row>
    <row r="1012">
      <c r="A1012" s="82"/>
      <c r="B1012" s="82"/>
      <c r="C1012" s="82"/>
      <c r="D1012" s="82"/>
      <c r="E1012" s="82"/>
      <c r="F1012" s="82"/>
      <c r="G1012" s="82"/>
      <c r="H1012" s="82"/>
      <c r="I1012" s="82"/>
      <c r="J1012" s="82"/>
      <c r="K1012" s="82"/>
      <c r="L1012" s="82"/>
    </row>
    <row r="1013">
      <c r="A1013" s="82"/>
      <c r="B1013" s="82"/>
      <c r="C1013" s="82"/>
      <c r="D1013" s="82"/>
      <c r="E1013" s="82"/>
      <c r="F1013" s="82"/>
      <c r="G1013" s="82"/>
      <c r="H1013" s="82"/>
      <c r="I1013" s="82"/>
      <c r="J1013" s="82"/>
      <c r="K1013" s="82"/>
      <c r="L1013" s="82"/>
    </row>
    <row r="1014">
      <c r="A1014" s="82"/>
      <c r="B1014" s="82"/>
      <c r="C1014" s="82"/>
      <c r="D1014" s="82"/>
      <c r="E1014" s="82"/>
      <c r="F1014" s="82"/>
      <c r="G1014" s="82"/>
      <c r="H1014" s="82"/>
      <c r="I1014" s="82"/>
      <c r="J1014" s="82"/>
      <c r="K1014" s="82"/>
      <c r="L1014" s="82"/>
    </row>
    <row r="1015">
      <c r="A1015" s="82"/>
      <c r="B1015" s="82"/>
      <c r="C1015" s="82"/>
      <c r="D1015" s="82"/>
      <c r="E1015" s="82"/>
      <c r="F1015" s="82"/>
      <c r="G1015" s="82"/>
      <c r="H1015" s="82"/>
      <c r="I1015" s="82"/>
      <c r="J1015" s="82"/>
      <c r="K1015" s="82"/>
      <c r="L1015" s="82"/>
    </row>
    <row r="1016">
      <c r="A1016" s="82"/>
      <c r="B1016" s="82"/>
      <c r="C1016" s="82"/>
      <c r="D1016" s="82"/>
      <c r="E1016" s="82"/>
      <c r="F1016" s="82"/>
      <c r="G1016" s="82"/>
      <c r="H1016" s="82"/>
      <c r="I1016" s="82"/>
      <c r="J1016" s="82"/>
      <c r="K1016" s="82"/>
      <c r="L1016" s="82"/>
    </row>
    <row r="1017">
      <c r="A1017" s="82"/>
      <c r="B1017" s="82"/>
      <c r="C1017" s="82"/>
      <c r="D1017" s="82"/>
      <c r="E1017" s="82"/>
      <c r="F1017" s="82"/>
      <c r="G1017" s="82"/>
      <c r="H1017" s="82"/>
      <c r="I1017" s="82"/>
      <c r="J1017" s="82"/>
      <c r="K1017" s="82"/>
      <c r="L1017" s="82"/>
    </row>
    <row r="1018">
      <c r="A1018" s="82"/>
      <c r="B1018" s="82"/>
      <c r="C1018" s="82"/>
      <c r="D1018" s="82"/>
      <c r="E1018" s="82"/>
      <c r="F1018" s="82"/>
      <c r="G1018" s="82"/>
      <c r="H1018" s="82"/>
      <c r="I1018" s="82"/>
      <c r="J1018" s="82"/>
      <c r="K1018" s="82"/>
      <c r="L1018" s="82"/>
    </row>
    <row r="1019">
      <c r="A1019" s="82"/>
      <c r="B1019" s="82"/>
      <c r="C1019" s="82"/>
      <c r="D1019" s="82"/>
      <c r="E1019" s="82"/>
      <c r="F1019" s="82"/>
      <c r="G1019" s="82"/>
      <c r="H1019" s="82"/>
      <c r="I1019" s="82"/>
      <c r="J1019" s="82"/>
      <c r="K1019" s="82"/>
      <c r="L1019" s="82"/>
    </row>
    <row r="1020">
      <c r="A1020" s="82"/>
      <c r="B1020" s="82"/>
      <c r="C1020" s="82"/>
      <c r="D1020" s="82"/>
      <c r="E1020" s="82"/>
      <c r="F1020" s="82"/>
      <c r="G1020" s="82"/>
      <c r="H1020" s="82"/>
      <c r="I1020" s="82"/>
      <c r="J1020" s="82"/>
      <c r="K1020" s="82"/>
      <c r="L1020" s="82"/>
    </row>
    <row r="1021">
      <c r="A1021" s="82"/>
      <c r="B1021" s="82"/>
      <c r="C1021" s="82"/>
      <c r="D1021" s="82"/>
      <c r="E1021" s="82"/>
      <c r="F1021" s="82"/>
      <c r="G1021" s="82"/>
      <c r="H1021" s="82"/>
      <c r="I1021" s="82"/>
      <c r="J1021" s="82"/>
      <c r="K1021" s="82"/>
      <c r="L1021" s="82"/>
    </row>
    <row r="1022">
      <c r="A1022" s="82"/>
      <c r="B1022" s="82"/>
      <c r="C1022" s="82"/>
      <c r="D1022" s="82"/>
      <c r="E1022" s="82"/>
      <c r="F1022" s="82"/>
      <c r="G1022" s="82"/>
      <c r="H1022" s="82"/>
      <c r="I1022" s="82"/>
      <c r="J1022" s="82"/>
      <c r="K1022" s="82"/>
      <c r="L1022" s="82"/>
    </row>
    <row r="1023">
      <c r="A1023" s="82"/>
      <c r="B1023" s="82"/>
      <c r="C1023" s="82"/>
      <c r="D1023" s="82"/>
      <c r="E1023" s="82"/>
      <c r="F1023" s="82"/>
      <c r="G1023" s="82"/>
      <c r="H1023" s="82"/>
      <c r="I1023" s="82"/>
      <c r="J1023" s="82"/>
      <c r="K1023" s="82"/>
      <c r="L1023" s="82"/>
    </row>
    <row r="1024">
      <c r="A1024" s="82"/>
      <c r="B1024" s="82"/>
      <c r="C1024" s="82"/>
      <c r="D1024" s="82"/>
      <c r="E1024" s="82"/>
      <c r="F1024" s="82"/>
      <c r="G1024" s="82"/>
      <c r="H1024" s="82"/>
      <c r="I1024" s="82"/>
      <c r="J1024" s="82"/>
      <c r="K1024" s="82"/>
      <c r="L1024" s="82"/>
    </row>
    <row r="1025">
      <c r="A1025" s="82"/>
      <c r="B1025" s="82"/>
      <c r="C1025" s="82"/>
      <c r="D1025" s="82"/>
      <c r="E1025" s="82"/>
      <c r="F1025" s="82"/>
      <c r="G1025" s="82"/>
      <c r="H1025" s="82"/>
      <c r="I1025" s="82"/>
      <c r="J1025" s="82"/>
      <c r="K1025" s="82"/>
      <c r="L1025" s="82"/>
    </row>
    <row r="1026">
      <c r="A1026" s="82"/>
      <c r="B1026" s="82"/>
      <c r="C1026" s="82"/>
      <c r="D1026" s="82"/>
      <c r="E1026" s="82"/>
      <c r="F1026" s="82"/>
      <c r="G1026" s="82"/>
      <c r="H1026" s="82"/>
      <c r="I1026" s="82"/>
      <c r="J1026" s="82"/>
      <c r="K1026" s="82"/>
      <c r="L1026" s="82"/>
    </row>
    <row r="1027">
      <c r="A1027" s="82"/>
      <c r="B1027" s="82"/>
      <c r="C1027" s="82"/>
      <c r="D1027" s="82"/>
      <c r="E1027" s="82"/>
      <c r="F1027" s="82"/>
      <c r="G1027" s="82"/>
      <c r="H1027" s="82"/>
      <c r="I1027" s="82"/>
      <c r="J1027" s="82"/>
      <c r="K1027" s="82"/>
      <c r="L1027" s="82"/>
    </row>
    <row r="1028">
      <c r="A1028" s="82"/>
      <c r="B1028" s="82"/>
      <c r="C1028" s="82"/>
      <c r="D1028" s="82"/>
      <c r="E1028" s="82"/>
      <c r="F1028" s="82"/>
      <c r="G1028" s="82"/>
      <c r="H1028" s="82"/>
      <c r="I1028" s="82"/>
      <c r="J1028" s="82"/>
      <c r="K1028" s="82"/>
      <c r="L1028" s="82"/>
    </row>
    <row r="1029">
      <c r="A1029" s="82"/>
      <c r="B1029" s="82"/>
      <c r="C1029" s="82"/>
      <c r="D1029" s="82"/>
      <c r="E1029" s="82"/>
      <c r="F1029" s="82"/>
      <c r="G1029" s="82"/>
      <c r="H1029" s="82"/>
      <c r="I1029" s="82"/>
      <c r="J1029" s="82"/>
      <c r="K1029" s="82"/>
      <c r="L1029" s="82"/>
    </row>
    <row r="1030">
      <c r="A1030" s="82"/>
      <c r="B1030" s="82"/>
      <c r="C1030" s="82"/>
      <c r="D1030" s="82"/>
      <c r="E1030" s="82"/>
      <c r="F1030" s="82"/>
      <c r="G1030" s="82"/>
      <c r="H1030" s="82"/>
      <c r="I1030" s="82"/>
      <c r="J1030" s="82"/>
      <c r="K1030" s="82"/>
      <c r="L1030" s="82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2.63"/>
    <col customWidth="1" min="3" max="3" width="25.13"/>
    <col customWidth="1" min="4" max="4" width="37.63"/>
    <col customWidth="1" min="5" max="5" width="9.5"/>
    <col customWidth="1" min="6" max="6" width="37.63"/>
    <col customWidth="1" min="8" max="10" width="37.63"/>
  </cols>
  <sheetData>
    <row r="1">
      <c r="A1" s="2" t="s">
        <v>52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66</v>
      </c>
      <c r="H1" s="3"/>
      <c r="I1" s="3"/>
      <c r="J1" s="3"/>
    </row>
    <row r="2">
      <c r="A2" s="82">
        <v>1.0</v>
      </c>
      <c r="B2" s="82" t="s">
        <v>184</v>
      </c>
      <c r="C2" s="82" t="s">
        <v>183</v>
      </c>
      <c r="D2" s="86">
        <v>3.12</v>
      </c>
      <c r="E2" s="82" t="s">
        <v>211</v>
      </c>
      <c r="F2" s="82" t="s">
        <v>186</v>
      </c>
      <c r="H2" s="82"/>
      <c r="I2" s="82"/>
      <c r="J2" s="82"/>
    </row>
    <row r="3">
      <c r="A3" s="83">
        <v>2.0</v>
      </c>
      <c r="B3" s="83" t="s">
        <v>188</v>
      </c>
      <c r="C3" s="83" t="s">
        <v>187</v>
      </c>
      <c r="D3" s="83" t="s">
        <v>189</v>
      </c>
      <c r="E3" s="83" t="s">
        <v>219</v>
      </c>
      <c r="F3" s="83" t="s">
        <v>191</v>
      </c>
      <c r="H3" s="83"/>
      <c r="I3" s="83"/>
      <c r="J3" s="83"/>
    </row>
    <row r="4">
      <c r="A4" s="83">
        <v>3.0</v>
      </c>
      <c r="B4" s="83" t="s">
        <v>193</v>
      </c>
      <c r="C4" s="83" t="s">
        <v>192</v>
      </c>
      <c r="D4" s="83" t="s">
        <v>194</v>
      </c>
      <c r="E4" s="83" t="s">
        <v>225</v>
      </c>
      <c r="F4" s="83" t="s">
        <v>196</v>
      </c>
      <c r="H4" s="83"/>
      <c r="I4" s="83"/>
      <c r="J4" s="83"/>
    </row>
    <row r="5">
      <c r="A5" s="83">
        <v>4.0</v>
      </c>
      <c r="B5" s="83" t="s">
        <v>193</v>
      </c>
      <c r="C5" s="83" t="s">
        <v>197</v>
      </c>
      <c r="D5" s="83" t="s">
        <v>198</v>
      </c>
      <c r="E5" s="83" t="s">
        <v>225</v>
      </c>
      <c r="F5" s="83" t="s">
        <v>200</v>
      </c>
      <c r="H5" s="83"/>
      <c r="I5" s="83"/>
      <c r="J5" s="83"/>
    </row>
    <row r="6">
      <c r="A6" s="83">
        <v>5.0</v>
      </c>
      <c r="B6" s="83" t="s">
        <v>193</v>
      </c>
      <c r="C6" s="83" t="s">
        <v>201</v>
      </c>
      <c r="D6" s="83" t="s">
        <v>203</v>
      </c>
      <c r="E6" s="83" t="s">
        <v>235</v>
      </c>
      <c r="F6" s="83" t="s">
        <v>205</v>
      </c>
      <c r="H6" s="83"/>
      <c r="I6" s="83"/>
      <c r="J6" s="83"/>
    </row>
    <row r="7">
      <c r="A7" s="83">
        <v>6.0</v>
      </c>
      <c r="B7" s="83" t="s">
        <v>193</v>
      </c>
      <c r="C7" s="83" t="s">
        <v>206</v>
      </c>
      <c r="D7" s="83" t="s">
        <v>189</v>
      </c>
      <c r="E7" s="83" t="s">
        <v>225</v>
      </c>
      <c r="F7" s="83" t="s">
        <v>208</v>
      </c>
      <c r="H7" s="83"/>
      <c r="I7" s="83"/>
      <c r="J7" s="83"/>
    </row>
    <row r="8">
      <c r="A8" s="83">
        <v>7.0</v>
      </c>
      <c r="B8" s="83" t="s">
        <v>193</v>
      </c>
      <c r="C8" s="83" t="s">
        <v>209</v>
      </c>
      <c r="D8" s="83" t="s">
        <v>189</v>
      </c>
      <c r="E8" s="83" t="s">
        <v>225</v>
      </c>
      <c r="F8" s="83" t="s">
        <v>212</v>
      </c>
      <c r="H8" s="83"/>
      <c r="I8" s="83"/>
      <c r="J8" s="83"/>
    </row>
    <row r="9">
      <c r="A9" s="83">
        <v>8.0</v>
      </c>
      <c r="B9" s="83" t="s">
        <v>193</v>
      </c>
      <c r="C9" s="83" t="s">
        <v>213</v>
      </c>
      <c r="D9" s="83" t="s">
        <v>189</v>
      </c>
      <c r="E9" s="83" t="s">
        <v>225</v>
      </c>
      <c r="F9" s="83" t="s">
        <v>215</v>
      </c>
      <c r="H9" s="83"/>
      <c r="I9" s="83"/>
      <c r="J9" s="83"/>
    </row>
    <row r="10">
      <c r="A10" s="83">
        <v>9.0</v>
      </c>
      <c r="B10" s="83" t="s">
        <v>193</v>
      </c>
      <c r="C10" s="83" t="s">
        <v>216</v>
      </c>
      <c r="D10" s="83" t="s">
        <v>189</v>
      </c>
      <c r="E10" s="83" t="s">
        <v>225</v>
      </c>
      <c r="F10" s="83" t="s">
        <v>218</v>
      </c>
      <c r="H10" s="83"/>
      <c r="I10" s="83"/>
      <c r="J10" s="83"/>
    </row>
    <row r="11">
      <c r="A11" s="83">
        <v>10.0</v>
      </c>
      <c r="B11" s="83" t="s">
        <v>193</v>
      </c>
      <c r="C11" s="83" t="s">
        <v>220</v>
      </c>
      <c r="D11" s="83" t="s">
        <v>189</v>
      </c>
      <c r="E11" s="83" t="s">
        <v>225</v>
      </c>
      <c r="F11" s="83" t="s">
        <v>222</v>
      </c>
      <c r="H11" s="83"/>
      <c r="I11" s="83"/>
      <c r="J11" s="83"/>
    </row>
    <row r="12">
      <c r="A12" s="83">
        <v>11.0</v>
      </c>
      <c r="B12" s="83" t="s">
        <v>193</v>
      </c>
      <c r="C12" s="83" t="s">
        <v>271</v>
      </c>
      <c r="D12" s="83" t="s">
        <v>189</v>
      </c>
      <c r="E12" s="83" t="s">
        <v>235</v>
      </c>
      <c r="F12" s="83" t="s">
        <v>273</v>
      </c>
      <c r="H12" s="83"/>
      <c r="I12" s="83"/>
      <c r="J12" s="83"/>
    </row>
    <row r="13">
      <c r="A13" s="83">
        <v>12.0</v>
      </c>
      <c r="B13" s="83" t="s">
        <v>184</v>
      </c>
      <c r="C13" s="83" t="s">
        <v>234</v>
      </c>
      <c r="D13" s="83" t="s">
        <v>236</v>
      </c>
      <c r="E13" s="83" t="s">
        <v>225</v>
      </c>
      <c r="F13" s="83" t="s">
        <v>237</v>
      </c>
      <c r="H13" s="83"/>
      <c r="I13" s="83"/>
      <c r="J13" s="83"/>
    </row>
    <row r="14">
      <c r="A14" s="83">
        <v>13.0</v>
      </c>
      <c r="B14" s="83" t="s">
        <v>184</v>
      </c>
      <c r="C14" s="83" t="s">
        <v>238</v>
      </c>
      <c r="D14" s="83" t="s">
        <v>239</v>
      </c>
      <c r="E14" s="83" t="s">
        <v>225</v>
      </c>
      <c r="F14" s="96" t="s">
        <v>241</v>
      </c>
      <c r="H14" s="83"/>
      <c r="I14" s="83"/>
      <c r="J14" s="83"/>
    </row>
    <row r="15">
      <c r="A15" s="83">
        <v>14.0</v>
      </c>
      <c r="B15" s="83" t="s">
        <v>184</v>
      </c>
      <c r="C15" s="83" t="s">
        <v>242</v>
      </c>
      <c r="D15" s="83" t="s">
        <v>243</v>
      </c>
      <c r="E15" s="83" t="s">
        <v>235</v>
      </c>
      <c r="F15" s="83" t="s">
        <v>245</v>
      </c>
      <c r="H15" s="83"/>
      <c r="I15" s="83"/>
      <c r="J15" s="83"/>
    </row>
    <row r="16">
      <c r="A16" s="83">
        <v>15.0</v>
      </c>
      <c r="B16" s="83" t="s">
        <v>193</v>
      </c>
      <c r="C16" s="83" t="s">
        <v>246</v>
      </c>
      <c r="D16" s="83" t="s">
        <v>189</v>
      </c>
      <c r="E16" s="83" t="s">
        <v>225</v>
      </c>
      <c r="F16" s="83" t="s">
        <v>248</v>
      </c>
      <c r="H16" s="83"/>
      <c r="I16" s="83"/>
      <c r="J16" s="83"/>
    </row>
    <row r="17">
      <c r="A17" s="83">
        <v>16.0</v>
      </c>
      <c r="B17" s="83" t="s">
        <v>184</v>
      </c>
      <c r="C17" s="83" t="s">
        <v>249</v>
      </c>
      <c r="D17" s="83" t="s">
        <v>250</v>
      </c>
      <c r="E17" s="83" t="s">
        <v>249</v>
      </c>
      <c r="F17" s="83" t="s">
        <v>252</v>
      </c>
      <c r="H17" s="83"/>
      <c r="I17" s="83"/>
      <c r="J17" s="83"/>
    </row>
    <row r="18">
      <c r="A18" s="83">
        <v>17.0</v>
      </c>
      <c r="B18" s="83" t="s">
        <v>193</v>
      </c>
      <c r="C18" s="83" t="s">
        <v>289</v>
      </c>
      <c r="D18" s="83" t="s">
        <v>290</v>
      </c>
      <c r="E18" s="83" t="s">
        <v>235</v>
      </c>
      <c r="F18" s="83" t="s">
        <v>291</v>
      </c>
      <c r="H18" s="83"/>
      <c r="I18" s="83"/>
      <c r="J18" s="83"/>
    </row>
    <row r="19">
      <c r="A19" s="83">
        <v>18.0</v>
      </c>
      <c r="B19" s="83" t="s">
        <v>193</v>
      </c>
      <c r="C19" s="83" t="s">
        <v>292</v>
      </c>
      <c r="D19" s="83" t="s">
        <v>189</v>
      </c>
      <c r="E19" s="83" t="s">
        <v>249</v>
      </c>
      <c r="F19" s="83" t="s">
        <v>293</v>
      </c>
      <c r="H19" s="83"/>
      <c r="I19" s="83"/>
      <c r="J19" s="83"/>
    </row>
    <row r="20">
      <c r="A20" s="83">
        <v>19.0</v>
      </c>
      <c r="B20" s="83" t="s">
        <v>261</v>
      </c>
      <c r="C20" s="83" t="s">
        <v>260</v>
      </c>
      <c r="D20" s="83" t="s">
        <v>262</v>
      </c>
      <c r="E20" s="83" t="s">
        <v>235</v>
      </c>
      <c r="F20" s="83" t="s">
        <v>264</v>
      </c>
      <c r="H20" s="83"/>
      <c r="I20" s="83"/>
      <c r="J20" s="83"/>
    </row>
    <row r="21">
      <c r="A21" s="83">
        <v>20.0</v>
      </c>
      <c r="B21" s="83" t="s">
        <v>261</v>
      </c>
      <c r="C21" s="83" t="s">
        <v>265</v>
      </c>
      <c r="D21" s="83" t="s">
        <v>262</v>
      </c>
      <c r="E21" s="83" t="s">
        <v>235</v>
      </c>
      <c r="F21" s="83" t="s">
        <v>267</v>
      </c>
      <c r="H21" s="83"/>
      <c r="I21" s="83"/>
      <c r="J21" s="83"/>
    </row>
    <row r="22">
      <c r="A22" s="83">
        <v>21.0</v>
      </c>
      <c r="B22" s="83" t="s">
        <v>193</v>
      </c>
      <c r="C22" s="83" t="s">
        <v>268</v>
      </c>
      <c r="D22" s="83" t="s">
        <v>189</v>
      </c>
      <c r="E22" s="83" t="s">
        <v>225</v>
      </c>
      <c r="F22" s="83" t="s">
        <v>270</v>
      </c>
      <c r="H22" s="83"/>
      <c r="I22" s="83"/>
      <c r="J22" s="83"/>
    </row>
    <row r="23">
      <c r="A23" s="83">
        <v>22.0</v>
      </c>
      <c r="B23" s="83" t="s">
        <v>188</v>
      </c>
      <c r="C23" s="83" t="s">
        <v>272</v>
      </c>
      <c r="D23" s="83" t="s">
        <v>189</v>
      </c>
      <c r="E23" s="83" t="s">
        <v>235</v>
      </c>
      <c r="F23" s="83" t="s">
        <v>275</v>
      </c>
      <c r="H23" s="83"/>
      <c r="I23" s="83"/>
      <c r="J23" s="83"/>
    </row>
    <row r="24">
      <c r="A24" s="83">
        <v>23.0</v>
      </c>
      <c r="B24" s="83" t="s">
        <v>188</v>
      </c>
      <c r="C24" s="83" t="s">
        <v>276</v>
      </c>
      <c r="D24" s="83" t="s">
        <v>189</v>
      </c>
      <c r="E24" s="83" t="s">
        <v>235</v>
      </c>
      <c r="F24" s="83" t="s">
        <v>278</v>
      </c>
      <c r="H24" s="83"/>
      <c r="I24" s="83"/>
      <c r="J24" s="83"/>
    </row>
    <row r="25">
      <c r="A25" s="83">
        <v>24.0</v>
      </c>
      <c r="B25" s="83" t="s">
        <v>188</v>
      </c>
      <c r="C25" s="83" t="s">
        <v>279</v>
      </c>
      <c r="D25" s="83" t="s">
        <v>189</v>
      </c>
      <c r="E25" s="83" t="s">
        <v>225</v>
      </c>
      <c r="F25" s="83" t="s">
        <v>281</v>
      </c>
      <c r="H25" s="83"/>
      <c r="I25" s="83"/>
      <c r="J25" s="83"/>
    </row>
    <row r="26">
      <c r="A26" s="83">
        <v>25.0</v>
      </c>
      <c r="B26" s="83" t="s">
        <v>184</v>
      </c>
      <c r="C26" s="83" t="s">
        <v>282</v>
      </c>
      <c r="D26" s="83" t="s">
        <v>283</v>
      </c>
      <c r="E26" s="83" t="s">
        <v>294</v>
      </c>
      <c r="F26" s="83" t="s">
        <v>285</v>
      </c>
      <c r="H26" s="83"/>
      <c r="I26" s="83"/>
      <c r="J26" s="83"/>
    </row>
    <row r="27">
      <c r="A27" s="83">
        <v>26.0</v>
      </c>
      <c r="B27" s="83" t="s">
        <v>184</v>
      </c>
      <c r="C27" s="83" t="s">
        <v>286</v>
      </c>
      <c r="D27" s="83" t="s">
        <v>283</v>
      </c>
      <c r="E27" s="83" t="s">
        <v>225</v>
      </c>
      <c r="F27" s="83" t="s">
        <v>288</v>
      </c>
      <c r="H27" s="83"/>
      <c r="I27" s="83"/>
      <c r="J27" s="83"/>
    </row>
    <row r="28">
      <c r="A28" s="104"/>
      <c r="B28" s="4"/>
      <c r="C28" s="4"/>
      <c r="D28" s="4"/>
      <c r="E28" s="4"/>
      <c r="F28" s="4"/>
      <c r="H28" s="4"/>
      <c r="I28" s="4"/>
      <c r="J28" s="4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87" t="str">
        <f>'Project Team'!A1</f>
        <v>Last Name</v>
      </c>
      <c r="B1" s="87" t="str">
        <f>'Project Team'!B1</f>
        <v>First Name</v>
      </c>
      <c r="C1" s="88" t="s">
        <v>257</v>
      </c>
      <c r="D1" s="89"/>
      <c r="E1" s="90"/>
      <c r="F1" s="91"/>
      <c r="G1" s="92"/>
      <c r="H1" s="92"/>
    </row>
    <row r="2">
      <c r="A2" s="93" t="str">
        <f>'Project Team'!A2</f>
        <v>Fritz</v>
      </c>
      <c r="B2" s="93" t="str">
        <f>'Project Team'!B2</f>
        <v>Josefina</v>
      </c>
      <c r="C2" s="94">
        <v>0.0</v>
      </c>
      <c r="D2" s="95"/>
      <c r="E2" s="97">
        <f>average(C5:C10)</f>
        <v>4.666666667</v>
      </c>
      <c r="F2" s="98" t="str">
        <f>IF(STDEV(C5:C10) &gt; 0,"NOK", "OK")</f>
        <v>NOK</v>
      </c>
      <c r="G2" s="99"/>
      <c r="H2" s="99"/>
    </row>
    <row r="3">
      <c r="A3" s="100" t="str">
        <f>'Project Team'!A3</f>
        <v>Barriga Vasquez</v>
      </c>
      <c r="B3" s="100" t="str">
        <f>'Project Team'!B3</f>
        <v>Fernando</v>
      </c>
      <c r="C3" s="94">
        <v>0.0</v>
      </c>
      <c r="D3" s="101"/>
      <c r="G3" s="102"/>
      <c r="H3" s="102"/>
    </row>
    <row r="4">
      <c r="A4" s="93" t="str">
        <f>'Project Team'!A4</f>
        <v>Sternberg</v>
      </c>
      <c r="B4" s="93" t="str">
        <f>'Project Team'!B4</f>
        <v>Fiona</v>
      </c>
      <c r="C4" s="103"/>
      <c r="D4" s="95"/>
      <c r="G4" s="99"/>
      <c r="H4" s="99"/>
    </row>
    <row r="5">
      <c r="A5" s="100" t="str">
        <f>'Project Team'!A5</f>
        <v>Afzal Yousuf</v>
      </c>
      <c r="B5" s="100" t="str">
        <f>'Project Team'!B5</f>
        <v>Ali </v>
      </c>
      <c r="C5" s="94">
        <v>5.0</v>
      </c>
      <c r="D5" s="105"/>
      <c r="E5" s="105"/>
      <c r="F5" s="105"/>
      <c r="G5" s="102"/>
      <c r="H5" s="102"/>
    </row>
    <row r="6">
      <c r="A6" s="93" t="str">
        <f>'Project Team'!A6</f>
        <v>Pohlitz</v>
      </c>
      <c r="B6" s="93" t="str">
        <f>'Project Team'!B6</f>
        <v>Paul</v>
      </c>
      <c r="C6" s="94">
        <v>5.0</v>
      </c>
      <c r="D6" s="106"/>
      <c r="E6" s="107">
        <v>0.0</v>
      </c>
      <c r="F6" s="108" t="s">
        <v>295</v>
      </c>
      <c r="G6" s="99"/>
      <c r="H6" s="99"/>
    </row>
    <row r="7">
      <c r="A7" s="100" t="str">
        <f>'Project Team'!A7</f>
        <v>Rubins</v>
      </c>
      <c r="B7" s="100" t="str">
        <f>'Project Team'!B7</f>
        <v>Adrians</v>
      </c>
      <c r="C7" s="94">
        <v>5.0</v>
      </c>
      <c r="D7" s="105"/>
      <c r="E7" s="107">
        <v>1.0</v>
      </c>
      <c r="F7" s="108" t="s">
        <v>296</v>
      </c>
      <c r="G7" s="102"/>
      <c r="H7" s="102"/>
    </row>
    <row r="8">
      <c r="A8" s="93" t="str">
        <f>'Project Team'!A8</f>
        <v>Kiesel</v>
      </c>
      <c r="B8" s="93" t="str">
        <f>'Project Team'!B8</f>
        <v>Paul</v>
      </c>
      <c r="C8" s="94">
        <v>5.0</v>
      </c>
      <c r="D8" s="106"/>
      <c r="E8" s="107">
        <v>2.0</v>
      </c>
      <c r="F8" s="108" t="s">
        <v>297</v>
      </c>
      <c r="G8" s="99"/>
      <c r="H8" s="99"/>
    </row>
    <row r="9">
      <c r="A9" s="100" t="str">
        <f>'Project Team'!A9</f>
        <v>Ahm</v>
      </c>
      <c r="B9" s="100" t="str">
        <f>'Project Team'!B9</f>
        <v>Raihan</v>
      </c>
      <c r="C9" s="94">
        <v>5.0</v>
      </c>
      <c r="D9" s="105"/>
      <c r="E9" s="107">
        <v>3.0</v>
      </c>
      <c r="F9" s="108" t="s">
        <v>298</v>
      </c>
      <c r="G9" s="102"/>
      <c r="H9" s="102"/>
    </row>
    <row r="10">
      <c r="A10" s="93" t="str">
        <f>'Project Team'!A10</f>
        <v>Marques</v>
      </c>
      <c r="B10" s="93" t="str">
        <f>'Project Team'!B10</f>
        <v>Rafael</v>
      </c>
      <c r="C10" s="94">
        <v>3.0</v>
      </c>
      <c r="D10" s="106"/>
      <c r="E10" s="107">
        <v>5.0</v>
      </c>
      <c r="F10" s="108" t="s">
        <v>299</v>
      </c>
      <c r="G10" s="99"/>
      <c r="H10" s="99"/>
    </row>
    <row r="11">
      <c r="A11" s="100"/>
      <c r="B11" s="100"/>
      <c r="C11" s="103"/>
      <c r="D11" s="105"/>
      <c r="E11" s="107">
        <v>8.0</v>
      </c>
      <c r="F11" s="108" t="s">
        <v>300</v>
      </c>
      <c r="G11" s="102"/>
      <c r="H11" s="102"/>
    </row>
    <row r="12">
      <c r="A12" s="93"/>
      <c r="B12" s="93"/>
      <c r="C12" s="103"/>
      <c r="D12" s="106"/>
      <c r="E12" s="107">
        <v>13.0</v>
      </c>
      <c r="F12" s="108" t="s">
        <v>301</v>
      </c>
      <c r="G12" s="99"/>
      <c r="H12" s="99"/>
    </row>
    <row r="13">
      <c r="A13" s="100"/>
      <c r="B13" s="100"/>
      <c r="C13" s="105"/>
      <c r="D13" s="105"/>
      <c r="E13" s="105"/>
      <c r="F13" s="105"/>
      <c r="G13" s="102"/>
      <c r="H13" s="102"/>
    </row>
    <row r="14">
      <c r="A14" s="109" t="s">
        <v>302</v>
      </c>
      <c r="B14" s="110"/>
      <c r="C14" s="110"/>
      <c r="D14" s="110"/>
      <c r="E14" s="110"/>
      <c r="F14" s="110"/>
      <c r="G14" s="110"/>
      <c r="H14" s="110"/>
    </row>
    <row r="15">
      <c r="A15" s="111"/>
      <c r="B15" s="111"/>
      <c r="C15" s="111"/>
      <c r="D15" s="111"/>
      <c r="E15" s="111"/>
      <c r="F15" s="111"/>
      <c r="G15" s="111"/>
      <c r="H15" s="111"/>
    </row>
    <row r="16">
      <c r="A16" s="112" t="s">
        <v>303</v>
      </c>
      <c r="B16" s="113"/>
      <c r="C16" s="113"/>
      <c r="D16" s="113"/>
      <c r="E16" s="113"/>
      <c r="F16" s="113"/>
      <c r="G16" s="113"/>
      <c r="H16" s="113"/>
    </row>
    <row r="17">
      <c r="A17" s="114" t="s">
        <v>304</v>
      </c>
      <c r="B17" s="111"/>
      <c r="C17" s="111"/>
      <c r="D17" s="111"/>
      <c r="E17" s="111"/>
      <c r="F17" s="111"/>
      <c r="G17" s="111"/>
      <c r="H17" s="111"/>
    </row>
    <row r="18">
      <c r="A18" s="112" t="s">
        <v>305</v>
      </c>
      <c r="B18" s="113"/>
      <c r="C18" s="113"/>
      <c r="D18" s="113"/>
      <c r="E18" s="113"/>
      <c r="F18" s="113"/>
      <c r="G18" s="113"/>
      <c r="H18" s="113"/>
    </row>
    <row r="19">
      <c r="A19" s="111"/>
      <c r="B19" s="111"/>
      <c r="C19" s="111"/>
      <c r="D19" s="111"/>
      <c r="E19" s="111"/>
      <c r="F19" s="111"/>
      <c r="G19" s="111"/>
      <c r="H19" s="111"/>
    </row>
    <row r="20">
      <c r="A20" s="113"/>
      <c r="B20" s="113"/>
      <c r="C20" s="113"/>
      <c r="D20" s="113"/>
      <c r="E20" s="113"/>
      <c r="F20" s="113"/>
      <c r="G20" s="113"/>
      <c r="H20" s="113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