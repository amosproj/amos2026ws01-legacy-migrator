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f\Desktop\UNI - Master\AMOS\sprint-02\"/>
    </mc:Choice>
  </mc:AlternateContent>
  <xr:revisionPtr revIDLastSave="0" documentId="8_{4C30C327-8195-4432-B394-C51D34CD5B45}" xr6:coauthVersionLast="47" xr6:coauthVersionMax="47" xr10:uidLastSave="{00000000-0000-0000-0000-000000000000}"/>
  <bookViews>
    <workbookView xWindow="-28905" yWindow="0" windowWidth="20835" windowHeight="15585" firstSheet="10" xr2:uid="{00000000-000D-0000-FFFF-FFFF00000000}"/>
  </bookViews>
  <sheets>
    <sheet name="Project Data" sheetId="1" r:id="rId1"/>
    <sheet name="Project Team" sheetId="2" r:id="rId2"/>
    <sheet name="Role Assignments" sheetId="3" r:id="rId3"/>
    <sheet name="Team Contract" sheetId="4" r:id="rId4"/>
    <sheet name="Product Goal" sheetId="5" r:id="rId5"/>
    <sheet name="Product Glossary" sheetId="6" r:id="rId6"/>
    <sheet name="Sprint Goals" sheetId="7" r:id="rId7"/>
    <sheet name="Velocity Tracking" sheetId="8" r:id="rId8"/>
    <sheet name="Mid-Project Release plan" sheetId="9" r:id="rId9"/>
    <sheet name="Final Project Release plan" sheetId="10" r:id="rId10"/>
    <sheet name="Definition of Done" sheetId="11" r:id="rId11"/>
    <sheet name="Documentation" sheetId="12" r:id="rId12"/>
    <sheet name="Bill of Materials" sheetId="13" r:id="rId13"/>
    <sheet name="Planning Poker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4" l="1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F2" i="14"/>
  <c r="E2" i="14"/>
  <c r="B2" i="14"/>
  <c r="A2" i="14"/>
  <c r="B1" i="14"/>
  <c r="A1" i="14"/>
  <c r="A22" i="10"/>
  <c r="A16" i="10"/>
  <c r="F11" i="10"/>
  <c r="D11" i="10"/>
  <c r="A11" i="10"/>
  <c r="A28" i="10" s="1"/>
  <c r="F10" i="10"/>
  <c r="D10" i="10"/>
  <c r="D5" i="10" s="1"/>
  <c r="A10" i="10"/>
  <c r="F9" i="10"/>
  <c r="D9" i="10"/>
  <c r="B28" i="9"/>
  <c r="B22" i="9"/>
  <c r="B16" i="9"/>
  <c r="A16" i="9"/>
  <c r="F11" i="9"/>
  <c r="D11" i="9"/>
  <c r="F10" i="9"/>
  <c r="D10" i="9"/>
  <c r="A10" i="9"/>
  <c r="F9" i="9"/>
  <c r="D9" i="9"/>
  <c r="D5" i="9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B13" i="3"/>
  <c r="B14" i="3" s="1"/>
  <c r="B15" i="3" s="1"/>
  <c r="B16" i="3" s="1"/>
  <c r="B17" i="3" s="1"/>
  <c r="B4" i="3"/>
  <c r="B5" i="3" s="1"/>
  <c r="B6" i="3" s="1"/>
  <c r="B7" i="3" s="1"/>
  <c r="B8" i="3" s="1"/>
  <c r="B9" i="3" s="1"/>
  <c r="B10" i="3" s="1"/>
  <c r="B11" i="3" s="1"/>
  <c r="E5" i="10" l="1"/>
  <c r="E9" i="10"/>
  <c r="E10" i="10" s="1"/>
  <c r="E11" i="10" s="1"/>
  <c r="E12" i="10" s="1"/>
  <c r="G9" i="10"/>
  <c r="G10" i="10" s="1"/>
  <c r="G11" i="10" s="1"/>
  <c r="G12" i="10" s="1"/>
  <c r="A22" i="9"/>
  <c r="A11" i="9"/>
  <c r="A28" i="9" s="1"/>
  <c r="G9" i="9"/>
  <c r="G10" i="9" s="1"/>
  <c r="G11" i="9" s="1"/>
  <c r="G12" i="9" s="1"/>
  <c r="E9" i="9"/>
  <c r="E10" i="9" s="1"/>
  <c r="E11" i="9" s="1"/>
  <c r="E12" i="9" s="1"/>
  <c r="E5" i="9"/>
</calcChain>
</file>

<file path=xl/sharedStrings.xml><?xml version="1.0" encoding="utf-8"?>
<sst xmlns="http://schemas.openxmlformats.org/spreadsheetml/2006/main" count="468" uniqueCount="273">
  <si>
    <t>Project Name</t>
  </si>
  <si>
    <t>Goals</t>
  </si>
  <si>
    <t>Last Name</t>
  </si>
  <si>
    <t>AI-Assisted Legacy Migration Knowledge Base</t>
  </si>
  <si>
    <t>First Name</t>
  </si>
  <si>
    <t>GitHub User Name</t>
  </si>
  <si>
    <t>Product Owner</t>
  </si>
  <si>
    <t>Online team meeting</t>
  </si>
  <si>
    <t>Email Address</t>
  </si>
  <si>
    <t>Fritz</t>
  </si>
  <si>
    <t>https://fau.zoom-x.de/j/68356420940?pwd=yD6DYSba2jI1DTVMOvI3JmRchu9TuY.1</t>
  </si>
  <si>
    <t>Josefina</t>
  </si>
  <si>
    <t>https://github.com/Josefinafr</t>
  </si>
  <si>
    <t>#</t>
  </si>
  <si>
    <t>-        Develop a useable and useful Prototype
-        Prototype should be compatible with MIT Software Licenses
-        Meet Requirements (that we don’t know yet) from our industry partner
-        A good Teamwork
-        A Demo Version of the Prototype on Demo-day
-        Keep the Project realistic
-        Prototype should be easily demonstratable on Demo-day - Preferably locally testable (Ollama)</t>
  </si>
  <si>
    <t>Meeting Day</t>
  </si>
  <si>
    <t>Review</t>
  </si>
  <si>
    <t>Meeting norms</t>
  </si>
  <si>
    <t>Planning</t>
  </si>
  <si>
    <t>Software Developer</t>
  </si>
  <si>
    <t>Release Manager</t>
  </si>
  <si>
    <t>Scrum Master</t>
  </si>
  <si>
    <t>Comment</t>
  </si>
  <si>
    <t xml:space="preserve">-	Meetings will be held in English
-	Be on time and come prepared &gt; Punishments 
-	Camera should be turned on (If it goes)
-	Let everyone speak and respect opinions and boundaries
-	If you are sick write a quick chat on WhatsApp and write the Professor
</t>
  </si>
  <si>
    <t>Working norms</t>
  </si>
  <si>
    <t>Fernando</t>
  </si>
  <si>
    <t>-        Ask for help if needed / Be helpful to others
-        Are you sick or unable to end your sprint work please let the POs know
-        AI Assistant Coding: Developer self should Review it first and the make a pull request
-        if AI used for git commit messages: PROPERLY Double check and remove "co-authored by Claude / etc."
- Suggestion from Dirk Riehle: Required Review (If you create a merge request, you must review at least one another merge request)
-        When AI Agents are used: Create a system prompt file (for example .Vscode/copilot-instructions.md for GitHub-Copilot ) and write down our coding norms there so that the AI adheres to them
-        Main Branch just touchable by the Release Manager that week – by Pull Request from Dev Branch
-        Dev branches with split branches (Title of backlog) – Pull request needs to be review
-        Breaking Change/Bugs handled by Release Manager and the one who caused it
-        Dirk Riehle said that collaborative coding must be annotated with a "Co-authored-by: Firstname Lastname &lt;uni-email@uni.de&gt;" at the end of a git commit message, one line per coworker. "Assigned to ..." flags on GitHub Projects work items will probably not be graded
-        Ensure local, easy reproducability and testability during development, right from the start. This is done by writing setup and start scripts, where it is necessary (instead of executing a module with long config files and 2329 env variables)
-        We all push into the develop branch then the release manager merges this then with the main branch</t>
  </si>
  <si>
    <t>Everyone else</t>
  </si>
  <si>
    <t>N/A</t>
  </si>
  <si>
    <t>Coordination norms</t>
  </si>
  <si>
    <t>Fiona</t>
  </si>
  <si>
    <t>-        Planning Board Coordination
-        If you disagree about smth - discuss it with each other first via Discord/WA and maybe bring it with you to the team meeting session
-        Never move feature to "Feature Archive" (Finished) column without a review in "Awaiting Review" column first
-        When you assign someone else to a feature, notify them explicitly WhatsApp</t>
  </si>
  <si>
    <t>Communication norms</t>
  </si>
  <si>
    <t xml:space="preserve">-        We set up a Discord Server
-        WhatsApp as main Communication Form
-        Happy Go Lucky: for twice a week Standup Email SDs (weekly for POs, SM)
-        Email with Wolfgang run by Fernando and Josefina
-        Feel free to text privately on WhatsApp if stuff comes up
</t>
  </si>
  <si>
    <t>Consideration norms</t>
  </si>
  <si>
    <t>Production system (if any)</t>
  </si>
  <si>
    <t>...</t>
  </si>
  <si>
    <t>Test system (if any)</t>
  </si>
  <si>
    <t>GitHub repository</t>
  </si>
  <si>
    <t>josefina.fritz@fau.de</t>
  </si>
  <si>
    <t>https://github.com/amosproj/amos2026ws01-legacy-migrator</t>
  </si>
  <si>
    <t>Barriga Vasquez</t>
  </si>
  <si>
    <t>-        Be patient – language differences, not same level of programming exp
-        respect each other’s time
-        Be nice and kind to each other
-        Be open to constructive feedback and focus on solving problems rather than blaming each other 
-        In planning poker always considere your peers thez might not have the same knowledge as you have</t>
  </si>
  <si>
    <t>https://github.com/fbarquez</t>
  </si>
  <si>
    <t>Cont. improvement norms</t>
  </si>
  <si>
    <t xml:space="preserve">Ali </t>
  </si>
  <si>
    <t>-       No automating push into main and dev branch
-       Feature branch are named after tickets 
-       After issue is resolved the feature branch for the ticket won’t be deleted
-       Merge requests shall not be reviewed automatically
-       Everybody gets informed about resolved pull requests -Maybe leave a message on WA
-       If there is any issue that has to be resolved immediately find a time to talk together on Discord
-       Build process create a useful artefact - Artefacts are stored on Github
-       Vertical slices workstream</t>
  </si>
  <si>
    <t>Rewards</t>
  </si>
  <si>
    <t xml:space="preserve">-	Get a T-shirt
-	Get a good grade
-	Online Celebration
-	Small Celebration for every release
-	A good Linkdin Profil : “What AMOS project taught me about B2B SAAS this week”
</t>
  </si>
  <si>
    <t>Paul K.</t>
  </si>
  <si>
    <t>Sanctions</t>
  </si>
  <si>
    <t>GitHub feature board</t>
  </si>
  <si>
    <t>https://github.com/orgs/amosproj/projects/109</t>
  </si>
  <si>
    <t>Adrians</t>
  </si>
  <si>
    <t>f.barriga.vasquez@campus.tu-berlin.de</t>
  </si>
  <si>
    <t>Sternberg</t>
  </si>
  <si>
    <t>https://github.com/Faoilthiama</t>
  </si>
  <si>
    <t>Paul P.</t>
  </si>
  <si>
    <r>
      <rPr>
        <sz val="10"/>
        <rFont val="arial, sans, sans-serif"/>
      </rPr>
      <t xml:space="preserve">-	If you’re late to a team meeting, you have to dance when you join.
-	If you have to complete a penalty, you can choose to dance or sing.
-	</t>
    </r>
    <r>
      <rPr>
        <u/>
        <sz val="10"/>
        <color rgb="FF1155CC"/>
        <rFont val="arial, sans, sans-serif"/>
      </rPr>
      <t>https://allkaraoke.party/game/?playlist=English&amp;song=radiohead-creep</t>
    </r>
  </si>
  <si>
    <t>Raihan</t>
  </si>
  <si>
    <t>Rafael</t>
  </si>
  <si>
    <t>Mid-term due</t>
  </si>
  <si>
    <t>GitHub imp-squared backlog</t>
  </si>
  <si>
    <t>https://github.com/orgs/amosproj/projects/113/views/1</t>
  </si>
  <si>
    <t>fiona.sternberg@fau.de</t>
  </si>
  <si>
    <t>Afzal Yousuf</t>
  </si>
  <si>
    <t>https://github.com/3liAf</t>
  </si>
  <si>
    <t>Position of T-shirt logo</t>
  </si>
  <si>
    <t>Upper Torso Right Small</t>
  </si>
  <si>
    <t>Link to logo for black T-shirt</t>
  </si>
  <si>
    <t>https://github.com/amosproj/amos2026ws01-legacy-migrator/blob/main/Deliverables/sprint-01/team-logo-blackTshirt.png</t>
  </si>
  <si>
    <t>ali.yousuf@fau.de</t>
  </si>
  <si>
    <t>Pohlitz</t>
  </si>
  <si>
    <t>Paul</t>
  </si>
  <si>
    <t>https://github.com/ppohlitze</t>
  </si>
  <si>
    <t>Signatures</t>
  </si>
  <si>
    <t>Product owner</t>
  </si>
  <si>
    <t xml:space="preserve">Fernando </t>
  </si>
  <si>
    <t>Software developer</t>
  </si>
  <si>
    <t>Ali</t>
  </si>
  <si>
    <t>Link to logo for white T-shirt</t>
  </si>
  <si>
    <t>https://github.com/amosproj/amos2026ws01-legacy-migrator/blob/main/Deliverables/sprint-01/team-logo-whiteTshirt.png</t>
  </si>
  <si>
    <t xml:space="preserve">Adrian </t>
  </si>
  <si>
    <t>Demo day!</t>
  </si>
  <si>
    <t>p.pohlitz@campus.tu-berlin.de</t>
  </si>
  <si>
    <t>Retrospective</t>
  </si>
  <si>
    <t>Rubins</t>
  </si>
  <si>
    <t>https://github.com/AdriansRubins</t>
  </si>
  <si>
    <t>Product owners, software developers, and Scurm Master are set and ideally don't change over time; the critical part is the Release Manager role you need to define here</t>
  </si>
  <si>
    <t>Additional materials</t>
  </si>
  <si>
    <t>Team maling list</t>
  </si>
  <si>
    <t>oss-amos-proj1@lists.fau.de</t>
  </si>
  <si>
    <t>il4707fu@zedat.fu-berlin.de</t>
  </si>
  <si>
    <t>Kiesel</t>
  </si>
  <si>
    <t>https://github.com/nudelisidle</t>
  </si>
  <si>
    <t>paul.kiesel@fau.de</t>
  </si>
  <si>
    <t>Ahm</t>
  </si>
  <si>
    <t>https://github.com/RaihanFAU</t>
  </si>
  <si>
    <t>ahm.raihan@fau.de</t>
  </si>
  <si>
    <t>Marques</t>
  </si>
  <si>
    <t>https://github.com/RafaelMcMarques</t>
  </si>
  <si>
    <t>Product Vision</t>
  </si>
  <si>
    <t>Project Mission</t>
  </si>
  <si>
    <t>Enable software teams to migrate legacy systems with confidence by providing a persistent, connected knowledge base of legacy code, target code, domain knowledge and system dependencies. Through natural-language queries and up-to-date architecture views, teams can understand migration progress, preserve essential knowledge and make informed decisions about what to migrate or decommission next.</t>
  </si>
  <si>
    <t>Develop and validate a prototype during the AMOS semester using a shareable reference project with a realistic migration history. Evaluate existing analysis tools, connect relevant information in a knowledge graph and demonstrate reliable natural-language answers about at least one migration step. Agree on measurable success criteria with the industry partner and define the scope of generated architecture views.</t>
  </si>
  <si>
    <t>rafael.mc.marques@fau.de</t>
  </si>
  <si>
    <t>Term</t>
  </si>
  <si>
    <t>Sprint #</t>
  </si>
  <si>
    <t>Definition</t>
  </si>
  <si>
    <t>Legacy System</t>
  </si>
  <si>
    <t>Sprint goal</t>
  </si>
  <si>
    <t>The existing software system whose functionality is gradually migrated to a new system. Some components remain active during the transition.</t>
  </si>
  <si>
    <t>Target System</t>
  </si>
  <si>
    <t>The new system that gradually replaces legacy functionality. Its actual code is analysed to distinguish implemented functionality from planned work.</t>
  </si>
  <si>
    <t>United Understanding</t>
  </si>
  <si>
    <t>Knowledge Base</t>
  </si>
  <si>
    <t>A persistent, versioned collection of connected information about legacy code, target code, domain knowledge and migration dependencies.</t>
  </si>
  <si>
    <t>Knowledge Graph</t>
  </si>
  <si>
    <t>A representation of information as nodes and relationships, connecting elements such as code components, bounded contexts and dependencies.</t>
  </si>
  <si>
    <t>Abstract Syntax Tree (AST)</t>
  </si>
  <si>
    <t>A structured representation of source code used to analyse elements such as classes, methods and fields.</t>
  </si>
  <si>
    <t>Domain Model</t>
  </si>
  <si>
    <t>A structured description of the business domain, including bounded contexts, business terminology, rules and events.</t>
  </si>
  <si>
    <t>Bounded Context</t>
  </si>
  <si>
    <t>A defined business boundary within which a particular domain model and its terminology apply. It can be linked to its implementations in both systems.</t>
  </si>
  <si>
    <t>Ubiquitous Language</t>
  </si>
  <si>
    <t>The shared business vocabulary used by domain experts and developers within a bounded context.</t>
  </si>
  <si>
    <t>Coupling</t>
  </si>
  <si>
    <t>A dependency between components or systems, such as direct calls, shared database tables or messaging routes. Remaining coupling can affect decommissioning decisions.</t>
  </si>
  <si>
    <t>Decommissioning</t>
  </si>
  <si>
    <t>Taking a legacy component out of operation after its functionality and remaining dependencies have been addressed.</t>
  </si>
  <si>
    <t>Strangler Fig Migration</t>
  </si>
  <si>
    <t>An incremental migration approach in which a new system gradually replaces the legacy system through parallel operation, completion and decommissioning.</t>
  </si>
  <si>
    <t>Deterministic Ingestion</t>
  </si>
  <si>
    <t>The stage that extracts and stores structural facts, such as code relationships and deployment information, without using an LLM.</t>
  </si>
  <si>
    <t>LLM-Based Comprehension</t>
  </si>
  <si>
    <t>The stage in which a large language model generates summaries and explanations from ingested information and stores them in the knowledge base.</t>
  </si>
  <si>
    <t>Retrieval-Augmented Generation (RAG)</t>
  </si>
  <si>
    <t>An approach that retrieves relevant knowledge-base information to support an LLM’s answer to a user’s question.</t>
  </si>
  <si>
    <t>arc42</t>
  </si>
  <si>
    <t>An architecture documentation framework. The project specifically targets its context, building block and deployment views.</t>
  </si>
  <si>
    <t>Research</t>
  </si>
  <si>
    <t>Context View</t>
  </si>
  <si>
    <t>An architecture view showing the system boundary, external actors, neighbouring systems and their interfaces.</t>
  </si>
  <si>
    <t>Building Block View</t>
  </si>
  <si>
    <t>None</t>
  </si>
  <si>
    <t>An architecture view showing the static structure of components, services or modules. In this project, it shows legacy and target elements together with their status.</t>
  </si>
  <si>
    <t>Deployment View</t>
  </si>
  <si>
    <t>An architecture view showing where components run and how they connect through infrastructure such as databases and messaging systems.</t>
  </si>
  <si>
    <t>Synthetic Reference System</t>
  </si>
  <si>
    <t>A shareable example system with realistic migration scenarios, used to develop and validate the prototype without confidential client code or data.</t>
  </si>
  <si>
    <t>Migration Step</t>
  </si>
  <si>
    <t>Optional</t>
  </si>
  <si>
    <t>A defined stage in the reference system’s migration history. Comparing consecutive steps reveals changes to code, deployments and dependencies.</t>
  </si>
  <si>
    <t>Minimum Viable Product (MVP)</t>
  </si>
  <si>
    <t>The initial prototype scope agreed with the industry partner. The kickoff discussion identifies answering natural-language questions about at least one migration step as the minimum goal.</t>
  </si>
  <si>
    <t>Write your sprint goal here</t>
  </si>
  <si>
    <t>Story Points Realized</t>
  </si>
  <si>
    <t>PLEASE CREATE THE VELOCITY CHART ON A NEW TAB USING THE DATA FROM THIS TAB</t>
  </si>
  <si>
    <t>Sprint</t>
  </si>
  <si>
    <t>Goal</t>
  </si>
  <si>
    <t>Feature Name</t>
  </si>
  <si>
    <t>Est. size</t>
  </si>
  <si>
    <t>Est. remaining</t>
  </si>
  <si>
    <t>Real size</t>
  </si>
  <si>
    <t>Real remaining</t>
  </si>
  <si>
    <t>Release</t>
  </si>
  <si>
    <t>Feature Definition of Done</t>
  </si>
  <si>
    <t>Sprint Release Definition of Done</t>
  </si>
  <si>
    <t>Project Release Definition of Done</t>
  </si>
  <si>
    <t>Total</t>
  </si>
  <si>
    <t>Sprints</t>
  </si>
  <si>
    <t>Type</t>
  </si>
  <si>
    <t>Link / reference</t>
  </si>
  <si>
    <t>Estimated burn-down</t>
  </si>
  <si>
    <t>Real burn-down</t>
  </si>
  <si>
    <t>Context</t>
  </si>
  <si>
    <t>Name</t>
  </si>
  <si>
    <t>Version</t>
  </si>
  <si>
    <t>Licence (SPDX)</t>
  </si>
  <si>
    <t>Value</t>
  </si>
  <si>
    <t>python</t>
  </si>
  <si>
    <t>Features</t>
  </si>
  <si>
    <t>container</t>
  </si>
  <si>
    <t>PSF-2.0</t>
  </si>
  <si>
    <t>Base image for pipeline and MCP server; code-review-graph needs Python &gt;= 3.10</t>
  </si>
  <si>
    <t>git</t>
  </si>
  <si>
    <t>application</t>
  </si>
  <si>
    <t>unpinned (resolve at first lockfile)</t>
  </si>
  <si>
    <t>GPL-2.0-only</t>
  </si>
  <si>
    <t>Host/base-image tool for git worktree checkouts; invoked as a separate process, not linked or modified</t>
  </si>
  <si>
    <t>code-review-graph</t>
  </si>
  <si>
    <t>library</t>
  </si>
  <si>
    <t>2.3.9</t>
  </si>
  <si>
    <t>MIT</t>
  </si>
  <si>
    <t>Primary structural extractor (PyPI release 18 Sep 2026)</t>
  </si>
  <si>
    <t>sqlglot</t>
  </si>
  <si>
    <t>30.22.0</t>
  </si>
  <si>
    <t>SQL read/write extraction (release 9 Oct 2026)</t>
  </si>
  <si>
    <t>atlassian-python-api</t>
  </si>
  <si>
    <t>5.0.5</t>
  </si>
  <si>
    <t>Apache-2.0</t>
  </si>
  <si>
    <t>Jira and Confluence connectors (Cloud and Server/DC); licence V, version from docs (S)</t>
  </si>
  <si>
    <t>markdown-it-py</t>
  </si>
  <si>
    <t>Markdown parsing (headings, links, code spans)</t>
  </si>
  <si>
    <t>markdownify</t>
  </si>
  <si>
    <t>Confluence storage format (XHTML) to markdown</t>
  </si>
  <si>
    <t>mcp</t>
  </si>
  <si>
    <t>MCP tool server SDK</t>
  </si>
  <si>
    <t>pydantic</t>
  </si>
  <si>
    <t>Canonical fact schema and validation</t>
  </si>
  <si>
    <t>ollama (Python client)</t>
  </si>
  <si>
    <t>Chat and embedding calls to the local model runtime</t>
  </si>
  <si>
    <t>repowise</t>
  </si>
  <si>
    <t>0.58.0</t>
  </si>
  <si>
    <t>AGPL-3.0-or-later OR LicenseRef-repowise-commercial</t>
  </si>
  <si>
    <t>Second extractor: workspaces and cross-repo contracts. Disable telemetry (opt-out). Version observed on PyPI earlier in the survey</t>
  </si>
  <si>
    <t>neo4j (Python driver)</t>
  </si>
  <si>
    <t>Loader and MCP queries</t>
  </si>
  <si>
    <t>PyDriller</t>
  </si>
  <si>
    <t>Git history mining (commits, changed files, issue keys)</t>
  </si>
  <si>
    <t>ollama</t>
  </si>
  <si>
    <t>0.40.9</t>
  </si>
  <si>
    <t>No size</t>
  </si>
  <si>
    <t>Local LLM runtime. Sources disagree on latest (0.40.5 / 0.40.9 / 0.40.10); pinned 0.40.9. Cloud features must be disabled (offline configuration)</t>
  </si>
  <si>
    <t>LibreChat</t>
  </si>
  <si>
    <t>PLEASE CREATE THE BURNDOWN CHART ON A NEW TAB USING THE DATA FROM THIS TAB</t>
  </si>
  <si>
    <t>0.8.8</t>
  </si>
  <si>
    <t>Chat UI (release 1 Oct 2026). Verify compose services at lock time</t>
  </si>
  <si>
    <t>FerretDB</t>
  </si>
  <si>
    <t>2.x (unpinned (resolve at first lockfile))</t>
  </si>
  <si>
    <t>Replaces MongoDB (SSPL) as LibreChat's document store</t>
  </si>
  <si>
    <t>DocumentDB PostgreSQL extension</t>
  </si>
  <si>
    <t>Trivial size</t>
  </si>
  <si>
    <t>Backend required by FerretDB 2.x; licence to verify</t>
  </si>
  <si>
    <t>PostgreSQL</t>
  </si>
  <si>
    <t>17 (minor unpinned (resolve at first lockfile))</t>
  </si>
  <si>
    <t>Backend for FerretDB (both visions); in Vision A also graph + vector store</t>
  </si>
  <si>
    <t>Neo4j Community Edition</t>
  </si>
  <si>
    <t>Small size</t>
  </si>
  <si>
    <t>calendar version unpinned (resolve at first lockfile)</t>
  </si>
  <si>
    <t>GPL-3.0-only</t>
  </si>
  <si>
    <t>Graph store and vector index; run unmodified as a separate server</t>
  </si>
  <si>
    <t>code-maat</t>
  </si>
  <si>
    <t>Medium size</t>
  </si>
  <si>
    <t>Co-change coupling, run as a separate JVM process; optional input</t>
  </si>
  <si>
    <t>gpt-oss-20b</t>
  </si>
  <si>
    <t>machine-learning-model</t>
  </si>
  <si>
    <t>revision unpinned (resolve at first lockfile)</t>
  </si>
  <si>
    <t>Chat model; Apache-2.0 plus the gpt-oss usage policy</t>
  </si>
  <si>
    <t>Qwen3-Embedding-0.6B</t>
  </si>
  <si>
    <t>Large size</t>
  </si>
  <si>
    <t>Embedding model; check licence on the model card (Qwen licences differ per checkpoint)</t>
  </si>
  <si>
    <t>pytest</t>
  </si>
  <si>
    <t>Very large size</t>
  </si>
  <si>
    <t>Dev-only: tests (DoD)</t>
  </si>
  <si>
    <t>Too large (size)</t>
  </si>
  <si>
    <t>cyclonedx-bom (cyclonedx-py)</t>
  </si>
  <si>
    <t>Dev-only: generates the build SBOM from the lockfile</t>
  </si>
  <si>
    <t>How to play planning poker</t>
  </si>
  <si>
    <t>syft</t>
  </si>
  <si>
    <t>Dev-only: SBOM for container images</t>
  </si>
  <si>
    <t>pip-licenses</t>
  </si>
  <si>
    <t>1. Everyone type their number into their value field, don't hit return yet</t>
  </si>
  <si>
    <t>Dev-only: licence gate in CI</t>
  </si>
  <si>
    <t>MongoDB Community</t>
  </si>
  <si>
    <t>2. Someone, perhaps a product owner, count down 3.. 2.. 1..</t>
  </si>
  <si>
    <t>-</t>
  </si>
  <si>
    <t>SSPL-1.0</t>
  </si>
  <si>
    <t>Default LibreChat store; excluded (non-OSI), replaced by FerretDB</t>
  </si>
  <si>
    <t>3. Then, everyone hit return to submit their value</t>
  </si>
  <si>
    <t>Meilisearch</t>
  </si>
  <si>
    <t>Optional LibreChat search; disabled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</si>
</sst>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"/>
    <numFmt numFmtId="165" formatCode="yyyy&quot;-&quot;mm&quot;-&quot;dd"/>
  </numFmts>
  <fonts count="19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10"/>
      <name val="Arial"/>
    </font>
    <font>
      <sz val="10"/>
      <name val="Arial"/>
    </font>
    <font>
      <u/>
      <sz val="10"/>
      <color rgb="FF0000FF"/>
      <name val="Arial"/>
    </font>
    <font>
      <b/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000000"/>
      <name val="'Courier New'"/>
    </font>
    <font>
      <sz val="11"/>
      <name val="Arial"/>
    </font>
    <font>
      <sz val="10"/>
      <color rgb="FFFFFFFF"/>
      <name val="Arial"/>
    </font>
    <font>
      <sz val="11"/>
      <name val="-apple-system"/>
    </font>
    <font>
      <sz val="11"/>
      <name val="Arial"/>
    </font>
    <font>
      <b/>
      <sz val="11"/>
      <name val="-apple-system"/>
    </font>
    <font>
      <b/>
      <sz val="24"/>
      <name val="Arial"/>
    </font>
    <font>
      <sz val="10"/>
      <name val="arial, sans, sans-serif"/>
    </font>
    <font>
      <u/>
      <sz val="10"/>
      <color rgb="FF1155CC"/>
      <name val="arial, sans, sans-serif"/>
    </font>
  </fonts>
  <fills count="9">
    <fill>
      <patternFill patternType="none"/>
    </fill>
    <fill>
      <patternFill patternType="gray125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3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/>
      <diagonal/>
    </border>
  </borders>
  <cellStyleXfs count="1">
    <xf numFmtId="0" fontId="0" fillId="0" borderId="0"/>
  </cellStyleXfs>
  <cellXfs count="83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 applyAlignment="1">
      <alignment wrapText="1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2" fillId="0" borderId="0" xfId="0" applyFont="1"/>
    <xf numFmtId="165" fontId="2" fillId="0" borderId="0" xfId="0" applyNumberFormat="1" applyFont="1" applyAlignment="1">
      <alignment horizontal="left"/>
    </xf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8" fillId="4" borderId="0" xfId="0" applyFont="1" applyFill="1" applyAlignment="1">
      <alignment wrapText="1"/>
    </xf>
    <xf numFmtId="165" fontId="2" fillId="0" borderId="0" xfId="0" applyNumberFormat="1" applyFont="1"/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1" fillId="0" borderId="0" xfId="0" applyFont="1" applyAlignment="1">
      <alignment vertical="center" wrapText="1"/>
    </xf>
    <xf numFmtId="0" fontId="2" fillId="0" borderId="0" xfId="0" applyFont="1" applyAlignment="1">
      <alignment horizontal="left" wrapText="1"/>
    </xf>
    <xf numFmtId="0" fontId="1" fillId="5" borderId="0" xfId="0" applyFont="1" applyFill="1" applyAlignment="1">
      <alignment wrapText="1"/>
    </xf>
    <xf numFmtId="0" fontId="3" fillId="2" borderId="0" xfId="0" applyFont="1" applyFill="1" applyAlignment="1">
      <alignment horizontal="left" wrapText="1"/>
    </xf>
    <xf numFmtId="0" fontId="3" fillId="2" borderId="0" xfId="0" applyFont="1" applyFill="1"/>
    <xf numFmtId="0" fontId="3" fillId="2" borderId="0" xfId="0" applyFont="1" applyFill="1" applyAlignment="1">
      <alignment horizontal="center" wrapText="1"/>
    </xf>
    <xf numFmtId="0" fontId="4" fillId="3" borderId="0" xfId="0" applyFont="1" applyFill="1" applyAlignment="1">
      <alignment horizontal="left" wrapText="1"/>
    </xf>
    <xf numFmtId="0" fontId="4" fillId="3" borderId="0" xfId="0" applyFont="1" applyFill="1"/>
    <xf numFmtId="0" fontId="3" fillId="2" borderId="0" xfId="0" applyFont="1" applyFill="1" applyAlignment="1">
      <alignment wrapText="1"/>
    </xf>
    <xf numFmtId="0" fontId="3" fillId="6" borderId="0" xfId="0" applyFont="1" applyFill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wrapText="1"/>
    </xf>
    <xf numFmtId="0" fontId="3" fillId="4" borderId="0" xfId="0" applyFont="1" applyFill="1"/>
    <xf numFmtId="0" fontId="4" fillId="4" borderId="0" xfId="0" applyFont="1" applyFill="1" applyAlignment="1">
      <alignment horizontal="right"/>
    </xf>
    <xf numFmtId="0" fontId="3" fillId="7" borderId="0" xfId="0" applyFont="1" applyFill="1" applyAlignment="1">
      <alignment horizontal="left"/>
    </xf>
    <xf numFmtId="0" fontId="3" fillId="7" borderId="0" xfId="0" applyFont="1" applyFill="1"/>
    <xf numFmtId="0" fontId="4" fillId="7" borderId="0" xfId="0" applyFont="1" applyFill="1" applyAlignment="1">
      <alignment wrapText="1"/>
    </xf>
    <xf numFmtId="0" fontId="12" fillId="3" borderId="0" xfId="0" applyFont="1" applyFill="1" applyAlignment="1">
      <alignment horizontal="center"/>
    </xf>
    <xf numFmtId="0" fontId="4" fillId="4" borderId="0" xfId="0" applyFont="1" applyFill="1" applyAlignment="1">
      <alignment horizontal="left" wrapText="1"/>
    </xf>
    <xf numFmtId="0" fontId="4" fillId="3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13" fillId="0" borderId="0" xfId="0" applyFont="1" applyAlignment="1">
      <alignment wrapText="1"/>
    </xf>
    <xf numFmtId="4" fontId="3" fillId="2" borderId="0" xfId="0" applyNumberFormat="1" applyFont="1" applyFill="1" applyAlignment="1">
      <alignment vertical="center" wrapText="1"/>
    </xf>
    <xf numFmtId="4" fontId="4" fillId="2" borderId="0" xfId="0" applyNumberFormat="1" applyFont="1" applyFill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" fillId="2" borderId="0" xfId="0" applyFont="1" applyFill="1" applyAlignment="1">
      <alignment vertical="center" wrapText="1"/>
    </xf>
    <xf numFmtId="0" fontId="3" fillId="8" borderId="0" xfId="0" applyFont="1" applyFill="1" applyAlignment="1">
      <alignment horizontal="left"/>
    </xf>
    <xf numFmtId="0" fontId="3" fillId="8" borderId="0" xfId="0" applyFont="1" applyFill="1"/>
    <xf numFmtId="0" fontId="3" fillId="3" borderId="0" xfId="0" applyFont="1" applyFill="1" applyAlignment="1">
      <alignment vertical="center" wrapText="1"/>
    </xf>
    <xf numFmtId="0" fontId="4" fillId="0" borderId="0" xfId="0" applyFont="1" applyAlignment="1">
      <alignment wrapText="1"/>
    </xf>
    <xf numFmtId="0" fontId="4" fillId="8" borderId="0" xfId="0" applyFont="1" applyFill="1" applyAlignment="1">
      <alignment wrapText="1"/>
    </xf>
    <xf numFmtId="0" fontId="4" fillId="5" borderId="0" xfId="0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vertical="center" wrapText="1"/>
    </xf>
    <xf numFmtId="0" fontId="15" fillId="0" borderId="1" xfId="0" applyFont="1" applyBorder="1" applyAlignment="1">
      <alignment horizontal="left" wrapText="1"/>
    </xf>
    <xf numFmtId="0" fontId="13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3" borderId="0" xfId="0" applyFont="1" applyFill="1" applyAlignment="1">
      <alignment horizontal="left"/>
    </xf>
    <xf numFmtId="0" fontId="2" fillId="3" borderId="0" xfId="0" applyFont="1" applyFill="1" applyAlignment="1">
      <alignment vertical="center" wrapText="1"/>
    </xf>
    <xf numFmtId="0" fontId="3" fillId="3" borderId="0" xfId="0" applyFont="1" applyFill="1"/>
    <xf numFmtId="0" fontId="4" fillId="4" borderId="0" xfId="0" applyFont="1" applyFill="1"/>
    <xf numFmtId="0" fontId="3" fillId="4" borderId="0" xfId="0" applyFont="1" applyFill="1" applyAlignment="1">
      <alignment vertical="center" wrapText="1"/>
    </xf>
    <xf numFmtId="4" fontId="4" fillId="4" borderId="0" xfId="0" applyNumberFormat="1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4" fillId="7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vertical="center" wrapText="1"/>
    </xf>
    <xf numFmtId="0" fontId="1" fillId="5" borderId="0" xfId="0" applyFont="1" applyFill="1"/>
    <xf numFmtId="0" fontId="1" fillId="3" borderId="0" xfId="0" applyFont="1" applyFill="1"/>
    <xf numFmtId="0" fontId="2" fillId="4" borderId="0" xfId="0" applyFont="1" applyFill="1"/>
    <xf numFmtId="0" fontId="2" fillId="3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4" fillId="4" borderId="0" xfId="0" applyFont="1" applyFill="1" applyAlignment="1">
      <alignment vertical="top" wrapText="1"/>
    </xf>
    <xf numFmtId="4" fontId="16" fillId="8" borderId="0" xfId="0" applyNumberFormat="1" applyFont="1" applyFill="1" applyAlignment="1">
      <alignment horizontal="center" vertical="center" wrapText="1"/>
    </xf>
    <xf numFmtId="0" fontId="16" fillId="8" borderId="0" xfId="0" applyFont="1" applyFill="1" applyAlignment="1">
      <alignment horizontal="center" vertical="center" wrapText="1"/>
    </xf>
  </cellXfs>
  <cellStyles count="1">
    <cellStyle name="Standard" xfId="0" builtinId="0"/>
  </cellStyles>
  <dxfs count="36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2">
    <tableStyle name="Project Data-style" pivot="0" count="3" xr9:uid="{00000000-0011-0000-FFFF-FFFF00000000}">
      <tableStyleElement type="headerRow" dxfId="35"/>
      <tableStyleElement type="firstRowStripe" dxfId="34"/>
      <tableStyleElement type="secondRowStripe" dxfId="33"/>
    </tableStyle>
    <tableStyle name="Role Assignments-style" pivot="0" count="3" xr9:uid="{00000000-0011-0000-FFFF-FFFF01000000}">
      <tableStyleElement type="headerRow" dxfId="32"/>
      <tableStyleElement type="firstRowStripe" dxfId="31"/>
      <tableStyleElement type="secondRowStripe" dxfId="30"/>
    </tableStyle>
    <tableStyle name="Project Team-style" pivot="0" count="3" xr9:uid="{00000000-0011-0000-FFFF-FFFF02000000}">
      <tableStyleElement type="headerRow" dxfId="29"/>
      <tableStyleElement type="firstRowStripe" dxfId="28"/>
      <tableStyleElement type="secondRowStripe" dxfId="27"/>
    </tableStyle>
    <tableStyle name="Team Contract-style" pivot="0" count="3" xr9:uid="{00000000-0011-0000-FFFF-FFFF03000000}">
      <tableStyleElement type="headerRow" dxfId="26"/>
      <tableStyleElement type="firstRowStripe" dxfId="25"/>
      <tableStyleElement type="secondRowStripe" dxfId="24"/>
    </tableStyle>
    <tableStyle name="Product Glossary-style" pivot="0" count="3" xr9:uid="{00000000-0011-0000-FFFF-FFFF04000000}">
      <tableStyleElement type="headerRow" dxfId="23"/>
      <tableStyleElement type="firstRowStripe" dxfId="22"/>
      <tableStyleElement type="secondRowStripe" dxfId="21"/>
    </tableStyle>
    <tableStyle name="Sprint Goals-style" pivot="0" count="3" xr9:uid="{00000000-0011-0000-FFFF-FFFF05000000}">
      <tableStyleElement type="headerRow" dxfId="20"/>
      <tableStyleElement type="firstRowStripe" dxfId="19"/>
      <tableStyleElement type="secondRowStripe" dxfId="18"/>
    </tableStyle>
    <tableStyle name="Velocity Tracking-style" pivot="0" count="3" xr9:uid="{00000000-0011-0000-FFFF-FFFF06000000}">
      <tableStyleElement type="headerRow" dxfId="17"/>
      <tableStyleElement type="firstRowStripe" dxfId="16"/>
      <tableStyleElement type="secondRowStripe" dxfId="15"/>
    </tableStyle>
    <tableStyle name="Mid-Project Release plan-style" pivot="0" count="3" xr9:uid="{00000000-0011-0000-FFFF-FFFF07000000}">
      <tableStyleElement type="headerRow" dxfId="14"/>
      <tableStyleElement type="firstRowStripe" dxfId="13"/>
      <tableStyleElement type="secondRowStripe" dxfId="12"/>
    </tableStyle>
    <tableStyle name="Final Project Release plan-style" pivot="0" count="3" xr9:uid="{00000000-0011-0000-FFFF-FFFF08000000}">
      <tableStyleElement type="headerRow" dxfId="11"/>
      <tableStyleElement type="firstRowStripe" dxfId="10"/>
      <tableStyleElement type="secondRowStripe" dxfId="9"/>
    </tableStyle>
    <tableStyle name="Definition of Done-style" pivot="0" count="3" xr9:uid="{00000000-0011-0000-FFFF-FFFF09000000}">
      <tableStyleElement type="headerRow" dxfId="8"/>
      <tableStyleElement type="firstRowStripe" dxfId="7"/>
      <tableStyleElement type="secondRowStripe" dxfId="6"/>
    </tableStyle>
    <tableStyle name="Documentation-style" pivot="0" count="3" xr9:uid="{00000000-0011-0000-FFFF-FFFF0A000000}">
      <tableStyleElement type="headerRow" dxfId="5"/>
      <tableStyleElement type="firstRowStripe" dxfId="4"/>
      <tableStyleElement type="secondRowStripe" dxfId="3"/>
    </tableStyle>
    <tableStyle name="Bill of Materials-style" pivot="0" count="3" xr9:uid="{00000000-0011-0000-FFFF-FFFF0B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2" displayName="Table_2" ref="A1:B20">
  <tableColumns count="2">
    <tableColumn id="1" xr3:uid="{00000000-0010-0000-0000-000001000000}" name="Project Name"/>
    <tableColumn id="2" xr3:uid="{00000000-0010-0000-0000-000002000000}" name="AI-Assisted Legacy Migration Knowledge Base"/>
  </tableColumns>
  <tableStyleInfo name="Project Dat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_4" displayName="Table_4" ref="A1:D20">
  <tableColumns count="4">
    <tableColumn id="1" xr3:uid="{00000000-0010-0000-0100-000001000000}" name="Last Name"/>
    <tableColumn id="2" xr3:uid="{00000000-0010-0000-0100-000002000000}" name="First Name"/>
    <tableColumn id="3" xr3:uid="{00000000-0010-0000-0100-000003000000}" name="GitHub User Name"/>
    <tableColumn id="4" xr3:uid="{00000000-0010-0000-0100-000004000000}" name="Email Address"/>
  </tableColumns>
  <tableStyleInfo name="Project Team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1" displayName="Table_1" ref="A2:H21">
  <tableColumns count="8">
    <tableColumn id="1" xr3:uid="{00000000-0010-0000-0200-000001000000}" name="#"/>
    <tableColumn id="2" xr3:uid="{00000000-0010-0000-0200-000002000000}" name="Meeting Day"/>
    <tableColumn id="3" xr3:uid="{00000000-0010-0000-0200-000003000000}" name="Review"/>
    <tableColumn id="4" xr3:uid="{00000000-0010-0000-0200-000004000000}" name="Planning"/>
    <tableColumn id="5" xr3:uid="{00000000-0010-0000-0200-000005000000}" name="Software Developer"/>
    <tableColumn id="6" xr3:uid="{00000000-0010-0000-0200-000006000000}" name="Release Manager"/>
    <tableColumn id="7" xr3:uid="{00000000-0010-0000-0200-000007000000}" name="Scrum Master"/>
    <tableColumn id="8" xr3:uid="{00000000-0010-0000-0200-000008000000}" name="Comment"/>
  </tableColumns>
  <tableStyleInfo name="Role Assignment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_3" displayName="Table_3" ref="A1:B30" headerRowCount="0">
  <tableColumns count="2">
    <tableColumn id="1" xr3:uid="{00000000-0010-0000-0300-000001000000}" name="Column1"/>
    <tableColumn id="2" xr3:uid="{00000000-0010-0000-0300-000002000000}" name="Column2"/>
  </tableColumns>
  <tableStyleInfo name="Team Contract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B22">
  <tableColumns count="2">
    <tableColumn id="1" xr3:uid="{00000000-0010-0000-0400-000001000000}" name="Term"/>
    <tableColumn id="2" xr3:uid="{00000000-0010-0000-0400-000002000000}" name="Definition"/>
  </tableColumns>
  <tableStyleInfo name="Product Glossary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B20">
  <tableColumns count="2">
    <tableColumn id="1" xr3:uid="{00000000-0010-0000-0500-000001000000}" name="Sprint #"/>
    <tableColumn id="2" xr3:uid="{00000000-0010-0000-0500-000002000000}" name="Sprint goal"/>
  </tableColumns>
  <tableStyleInfo name="Sprint Goals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B20">
  <tableColumns count="2">
    <tableColumn id="1" xr3:uid="{00000000-0010-0000-0600-000001000000}" name="Sprint #"/>
    <tableColumn id="2" xr3:uid="{00000000-0010-0000-0600-000002000000}" name="Story Points Realized"/>
  </tableColumns>
  <tableStyleInfo name="Velocity Tracking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G34">
  <tableColumns count="7">
    <tableColumn id="1" xr3:uid="{00000000-0010-0000-0700-000001000000}" name="Sprint"/>
    <tableColumn id="2" xr3:uid="{00000000-0010-0000-0700-000002000000}" name="Goal"/>
    <tableColumn id="3" xr3:uid="{00000000-0010-0000-0700-000003000000}" name="Feature Name"/>
    <tableColumn id="4" xr3:uid="{00000000-0010-0000-0700-000004000000}" name="Est. size"/>
    <tableColumn id="5" xr3:uid="{00000000-0010-0000-0700-000005000000}" name="Est. remaining"/>
    <tableColumn id="6" xr3:uid="{00000000-0010-0000-0700-000006000000}" name="Real size"/>
    <tableColumn id="7" xr3:uid="{00000000-0010-0000-0700-000007000000}" name="Real remaining"/>
  </tableColumns>
  <tableStyleInfo name="Mid-Project Release plan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G34">
  <tableColumns count="7">
    <tableColumn id="1" xr3:uid="{00000000-0010-0000-0800-000001000000}" name="Sprint"/>
    <tableColumn id="2" xr3:uid="{00000000-0010-0000-0800-000002000000}" name="Goal"/>
    <tableColumn id="3" xr3:uid="{00000000-0010-0000-0800-000003000000}" name="Feature Name"/>
    <tableColumn id="4" xr3:uid="{00000000-0010-0000-0800-000004000000}" name="Est. size"/>
    <tableColumn id="5" xr3:uid="{00000000-0010-0000-0800-000005000000}" name="Est. remaining"/>
    <tableColumn id="6" xr3:uid="{00000000-0010-0000-0800-000006000000}" name="Real size"/>
    <tableColumn id="7" xr3:uid="{00000000-0010-0000-0800-000007000000}" name="Real remaining"/>
  </tableColumns>
  <tableStyleInfo name="Final Project Release plan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1:D20">
  <tableColumns count="4">
    <tableColumn id="1" xr3:uid="{00000000-0010-0000-0900-000001000000}" name="#"/>
    <tableColumn id="2" xr3:uid="{00000000-0010-0000-0900-000002000000}" name="Feature Definition of Done"/>
    <tableColumn id="3" xr3:uid="{00000000-0010-0000-0900-000003000000}" name="Sprint Release Definition of Done"/>
    <tableColumn id="4" xr3:uid="{00000000-0010-0000-0900-000004000000}" name="Project Release Definition of Done"/>
  </tableColumns>
  <tableStyleInfo name="Definition of Done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A1:B20">
  <tableColumns count="2">
    <tableColumn id="1" xr3:uid="{00000000-0010-0000-0A00-000001000000}" name="Type"/>
    <tableColumn id="2" xr3:uid="{00000000-0010-0000-0A00-000002000000}" name="Link / reference"/>
  </tableColumns>
  <tableStyleInfo name="Documentation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A1:L1027" headerRowCount="0">
  <tableColumns count="12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  <tableColumn id="5" xr3:uid="{00000000-0010-0000-0B00-000005000000}" name="Column5"/>
    <tableColumn id="6" xr3:uid="{00000000-0010-0000-0B00-000006000000}" name="Column6"/>
    <tableColumn id="7" xr3:uid="{00000000-0010-0000-0B00-000007000000}" name="Column7"/>
    <tableColumn id="8" xr3:uid="{00000000-0010-0000-0B00-000008000000}" name="Column8"/>
    <tableColumn id="9" xr3:uid="{00000000-0010-0000-0B00-000009000000}" name="Column9"/>
    <tableColumn id="10" xr3:uid="{00000000-0010-0000-0B00-00000A000000}" name="Column10"/>
    <tableColumn id="11" xr3:uid="{00000000-0010-0000-0B00-00000B000000}" name="Column11"/>
    <tableColumn id="12" xr3:uid="{00000000-0010-0000-0B00-00000C000000}" name="Column12"/>
  </tableColumns>
  <tableStyleInfo name="Bill of Materials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github.com/orgs/amosproj/projects/109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amosproj/amos2026ws01-legacy-migrator" TargetMode="External"/><Relationship Id="rId1" Type="http://schemas.openxmlformats.org/officeDocument/2006/relationships/hyperlink" Target="https://fau.zoom-x.de/j/68356420940?pwd=yD6DYSba2jI1DTVMOvI3JmRchu9TuY.1" TargetMode="External"/><Relationship Id="rId6" Type="http://schemas.openxmlformats.org/officeDocument/2006/relationships/hyperlink" Target="https://github.com/amosproj/amos2026ws01-legacy-migrator/blob/main/Deliverables/sprint-01/team-logo-whiteTshirt.png" TargetMode="External"/><Relationship Id="rId5" Type="http://schemas.openxmlformats.org/officeDocument/2006/relationships/hyperlink" Target="https://github.com/amosproj/amos2026ws01-legacy-migrator/blob/main/Deliverables/sprint-01/team-logo-blackTshirt.png" TargetMode="External"/><Relationship Id="rId4" Type="http://schemas.openxmlformats.org/officeDocument/2006/relationships/hyperlink" Target="https://github.com/orgs/amosproj/projects/113/views/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RaihanFAU" TargetMode="External"/><Relationship Id="rId3" Type="http://schemas.openxmlformats.org/officeDocument/2006/relationships/hyperlink" Target="https://github.com/Faoilthiama" TargetMode="External"/><Relationship Id="rId7" Type="http://schemas.openxmlformats.org/officeDocument/2006/relationships/hyperlink" Target="https://github.com/nudelisidle" TargetMode="External"/><Relationship Id="rId2" Type="http://schemas.openxmlformats.org/officeDocument/2006/relationships/hyperlink" Target="https://github.com/fbarquez" TargetMode="External"/><Relationship Id="rId1" Type="http://schemas.openxmlformats.org/officeDocument/2006/relationships/hyperlink" Target="https://github.com/Josefinafr" TargetMode="External"/><Relationship Id="rId6" Type="http://schemas.openxmlformats.org/officeDocument/2006/relationships/hyperlink" Target="https://github.com/AdriansRubins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github.com/ppohlitze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github.com/3liAf" TargetMode="External"/><Relationship Id="rId9" Type="http://schemas.openxmlformats.org/officeDocument/2006/relationships/hyperlink" Target="https://github.com/RafaelMcMarque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allkaraoke.party/game/?playlist=English&amp;song=radiohead-creep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25.140625" customWidth="1"/>
    <col min="2" max="2" width="100.140625" customWidth="1"/>
  </cols>
  <sheetData>
    <row r="1" spans="1:2" ht="12.75" customHeight="1">
      <c r="A1" s="1" t="s">
        <v>0</v>
      </c>
      <c r="B1" s="1" t="s">
        <v>3</v>
      </c>
    </row>
    <row r="2" spans="1:2" ht="12.75" customHeight="1">
      <c r="A2" s="1"/>
      <c r="B2" s="4"/>
    </row>
    <row r="3" spans="1:2" ht="12.75" customHeight="1">
      <c r="A3" s="1" t="s">
        <v>7</v>
      </c>
      <c r="B3" s="13" t="s">
        <v>10</v>
      </c>
    </row>
    <row r="4" spans="1:2" ht="12.75" customHeight="1">
      <c r="A4" s="1"/>
      <c r="B4" s="4"/>
    </row>
    <row r="5" spans="1:2" ht="12.75" customHeight="1">
      <c r="A5" s="1" t="s">
        <v>35</v>
      </c>
      <c r="B5" s="4" t="s">
        <v>36</v>
      </c>
    </row>
    <row r="6" spans="1:2" ht="12.75" customHeight="1">
      <c r="A6" s="1" t="s">
        <v>37</v>
      </c>
      <c r="B6" s="4" t="s">
        <v>36</v>
      </c>
    </row>
    <row r="7" spans="1:2" ht="12.75" customHeight="1">
      <c r="A7" s="1"/>
      <c r="B7" s="4"/>
    </row>
    <row r="8" spans="1:2" ht="12.75" customHeight="1">
      <c r="A8" s="1" t="s">
        <v>38</v>
      </c>
      <c r="B8" s="15" t="s">
        <v>40</v>
      </c>
    </row>
    <row r="9" spans="1:2" ht="12.75" customHeight="1">
      <c r="A9" s="1" t="s">
        <v>51</v>
      </c>
      <c r="B9" s="13" t="s">
        <v>52</v>
      </c>
    </row>
    <row r="10" spans="1:2" ht="12.75" customHeight="1">
      <c r="A10" s="1" t="s">
        <v>62</v>
      </c>
      <c r="B10" s="13" t="s">
        <v>63</v>
      </c>
    </row>
    <row r="11" spans="1:2" ht="12.75" customHeight="1">
      <c r="A11" s="1"/>
      <c r="B11" s="4"/>
    </row>
    <row r="12" spans="1:2" ht="12.75" customHeight="1">
      <c r="A12" s="1" t="s">
        <v>67</v>
      </c>
      <c r="B12" s="4" t="s">
        <v>68</v>
      </c>
    </row>
    <row r="13" spans="1:2" ht="12.75" customHeight="1">
      <c r="A13" s="1" t="s">
        <v>69</v>
      </c>
      <c r="B13" s="13" t="s">
        <v>70</v>
      </c>
    </row>
    <row r="14" spans="1:2" ht="12.75" customHeight="1">
      <c r="A14" s="1" t="s">
        <v>80</v>
      </c>
      <c r="B14" s="19" t="s">
        <v>81</v>
      </c>
    </row>
    <row r="15" spans="1:2" ht="12.75" customHeight="1">
      <c r="A15" s="1"/>
      <c r="B15" s="4"/>
    </row>
    <row r="16" spans="1:2" ht="12.75" customHeight="1">
      <c r="A16" s="1" t="s">
        <v>89</v>
      </c>
      <c r="B16" s="4" t="s">
        <v>36</v>
      </c>
    </row>
    <row r="17" spans="1:2" ht="12.75" customHeight="1">
      <c r="A17" s="1"/>
      <c r="B17" s="4"/>
    </row>
    <row r="18" spans="1:2" ht="12.75" customHeight="1">
      <c r="A18" s="1" t="s">
        <v>90</v>
      </c>
      <c r="B18" s="4" t="s">
        <v>91</v>
      </c>
    </row>
    <row r="19" spans="1:2" ht="12.75" customHeight="1">
      <c r="A19" s="1"/>
      <c r="B19" s="4"/>
    </row>
    <row r="20" spans="1:2" ht="12.75" customHeight="1">
      <c r="A20" s="1"/>
      <c r="B20" s="20"/>
    </row>
  </sheetData>
  <dataValidations count="1">
    <dataValidation type="list" allowBlank="1" showErrorMessage="1" sqref="B12" xr:uid="{00000000-0002-0000-0000-000000000000}">
      <formula1>"Upper Torso Center Large,Upper Torso Right Small"</formula1>
    </dataValidation>
  </dataValidations>
  <hyperlinks>
    <hyperlink ref="B3" r:id="rId1" xr:uid="{00000000-0004-0000-0000-000000000000}"/>
    <hyperlink ref="B8" r:id="rId2" xr:uid="{00000000-0004-0000-0000-000001000000}"/>
    <hyperlink ref="B9" r:id="rId3" xr:uid="{00000000-0004-0000-0000-000002000000}"/>
    <hyperlink ref="B10" r:id="rId4" xr:uid="{00000000-0004-0000-0000-000003000000}"/>
    <hyperlink ref="B13" r:id="rId5" xr:uid="{00000000-0004-0000-0000-000004000000}"/>
    <hyperlink ref="B14" r:id="rId6" xr:uid="{00000000-0004-0000-0000-000005000000}"/>
  </hyperlinks>
  <printOptions horizontalCentered="1" gridLines="1"/>
  <pageMargins left="0.70866141732283461" right="0.70866141732283461" top="0.74803149606299213" bottom="0.74803149606299213" header="0" footer="0"/>
  <pageSetup paperSize="9" fitToHeight="0" pageOrder="overThenDown" orientation="landscape" cellComments="atEnd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D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20.7109375" customWidth="1"/>
    <col min="2" max="2" width="21.85546875" customWidth="1"/>
    <col min="3" max="4" width="31.42578125" customWidth="1"/>
  </cols>
  <sheetData>
    <row r="1" spans="1:4" ht="12.75" customHeight="1">
      <c r="A1" s="3" t="s">
        <v>2</v>
      </c>
      <c r="B1" s="3" t="s">
        <v>4</v>
      </c>
      <c r="C1" s="3" t="s">
        <v>5</v>
      </c>
      <c r="D1" s="3" t="s">
        <v>8</v>
      </c>
    </row>
    <row r="2" spans="1:4" ht="12.75" customHeight="1">
      <c r="A2" s="3" t="s">
        <v>9</v>
      </c>
      <c r="B2" s="3" t="s">
        <v>11</v>
      </c>
      <c r="C2" s="14" t="s">
        <v>12</v>
      </c>
      <c r="D2" s="11" t="s">
        <v>39</v>
      </c>
    </row>
    <row r="3" spans="1:4" ht="12.75" customHeight="1">
      <c r="A3" s="3" t="s">
        <v>41</v>
      </c>
      <c r="B3" s="3" t="s">
        <v>25</v>
      </c>
      <c r="C3" s="14" t="s">
        <v>43</v>
      </c>
      <c r="D3" s="11" t="s">
        <v>54</v>
      </c>
    </row>
    <row r="4" spans="1:4" ht="12.75" customHeight="1">
      <c r="A4" s="3" t="s">
        <v>55</v>
      </c>
      <c r="B4" s="3" t="s">
        <v>30</v>
      </c>
      <c r="C4" s="14" t="s">
        <v>56</v>
      </c>
      <c r="D4" s="11" t="s">
        <v>64</v>
      </c>
    </row>
    <row r="5" spans="1:4" ht="12.75" customHeight="1">
      <c r="A5" s="3" t="s">
        <v>65</v>
      </c>
      <c r="B5" s="3" t="s">
        <v>45</v>
      </c>
      <c r="C5" s="14" t="s">
        <v>66</v>
      </c>
      <c r="D5" s="11" t="s">
        <v>71</v>
      </c>
    </row>
    <row r="6" spans="1:4" ht="12.75" customHeight="1">
      <c r="A6" s="3" t="s">
        <v>72</v>
      </c>
      <c r="B6" s="3" t="s">
        <v>73</v>
      </c>
      <c r="C6" s="14" t="s">
        <v>74</v>
      </c>
      <c r="D6" s="11" t="s">
        <v>84</v>
      </c>
    </row>
    <row r="7" spans="1:4" ht="12.75" customHeight="1">
      <c r="A7" s="3" t="s">
        <v>86</v>
      </c>
      <c r="B7" s="3" t="s">
        <v>53</v>
      </c>
      <c r="C7" s="14" t="s">
        <v>87</v>
      </c>
      <c r="D7" s="11" t="s">
        <v>92</v>
      </c>
    </row>
    <row r="8" spans="1:4" ht="12.75" customHeight="1">
      <c r="A8" s="3" t="s">
        <v>93</v>
      </c>
      <c r="B8" s="3" t="s">
        <v>73</v>
      </c>
      <c r="C8" s="14" t="s">
        <v>94</v>
      </c>
      <c r="D8" s="11" t="s">
        <v>95</v>
      </c>
    </row>
    <row r="9" spans="1:4" ht="12.75" customHeight="1">
      <c r="A9" s="3" t="s">
        <v>96</v>
      </c>
      <c r="B9" s="3" t="s">
        <v>59</v>
      </c>
      <c r="C9" s="14" t="s">
        <v>97</v>
      </c>
      <c r="D9" s="11" t="s">
        <v>98</v>
      </c>
    </row>
    <row r="10" spans="1:4" ht="12.75" customHeight="1">
      <c r="A10" s="3" t="s">
        <v>99</v>
      </c>
      <c r="B10" s="3" t="s">
        <v>60</v>
      </c>
      <c r="C10" s="14" t="s">
        <v>100</v>
      </c>
      <c r="D10" s="11" t="s">
        <v>105</v>
      </c>
    </row>
    <row r="11" spans="1:4" ht="12.75" customHeight="1">
      <c r="A11" s="11"/>
      <c r="B11" s="11"/>
      <c r="C11" s="11"/>
      <c r="D11" s="11"/>
    </row>
    <row r="12" spans="1:4" ht="12.75" customHeight="1">
      <c r="A12" s="11"/>
      <c r="B12" s="11"/>
      <c r="C12" s="11"/>
      <c r="D12" s="11"/>
    </row>
    <row r="13" spans="1:4" ht="12.75" customHeight="1">
      <c r="A13" s="3"/>
      <c r="B13" s="3"/>
      <c r="C13" s="3"/>
      <c r="D13" s="3"/>
    </row>
    <row r="14" spans="1:4" ht="12.75" customHeight="1">
      <c r="A14" s="11"/>
      <c r="B14" s="11"/>
      <c r="C14" s="11"/>
      <c r="D14" s="11"/>
    </row>
    <row r="15" spans="1:4" ht="12.75" customHeight="1">
      <c r="A15" s="11"/>
      <c r="B15" s="11"/>
      <c r="C15" s="11"/>
      <c r="D15" s="11"/>
    </row>
    <row r="16" spans="1:4" ht="12.75" customHeight="1">
      <c r="A16" s="11"/>
      <c r="B16" s="11"/>
      <c r="C16" s="11"/>
      <c r="D16" s="11"/>
    </row>
    <row r="17" spans="1:4" ht="12.75" customHeight="1">
      <c r="A17" s="11"/>
      <c r="B17" s="11"/>
      <c r="C17" s="11"/>
      <c r="D17" s="11"/>
    </row>
    <row r="18" spans="1:4" ht="12.75" customHeight="1">
      <c r="A18" s="11"/>
      <c r="B18" s="11"/>
      <c r="C18" s="11"/>
      <c r="D18" s="11"/>
    </row>
    <row r="19" spans="1:4" ht="12.75" customHeight="1">
      <c r="A19" s="11"/>
      <c r="B19" s="11"/>
      <c r="C19" s="11"/>
      <c r="D19" s="11"/>
    </row>
    <row r="20" spans="1:4" ht="12.75" customHeight="1">
      <c r="A20" s="11"/>
      <c r="B20" s="11"/>
      <c r="C20" s="11"/>
      <c r="D20" s="11"/>
    </row>
  </sheetData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</hyperlinks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0"/>
  <headerFooter>
    <oddHeader>&amp;LPlanning Document|&amp;C&amp;A</oddHeader>
    <oddFooter>&amp;LPage &amp;P of &amp;N</oddFooter>
  </headerFooter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H21"/>
  <sheetViews>
    <sheetView tabSelected="1" workbookViewId="0">
      <pane ySplit="2" topLeftCell="A3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6.42578125" customWidth="1"/>
    <col min="2" max="2" width="12.5703125" customWidth="1"/>
    <col min="3" max="7" width="18.85546875" customWidth="1"/>
    <col min="8" max="8" width="50.140625" customWidth="1"/>
  </cols>
  <sheetData>
    <row r="1" spans="1:8" ht="12.75" customHeight="1">
      <c r="A1" s="2"/>
      <c r="B1" s="2"/>
      <c r="C1" s="78" t="s">
        <v>6</v>
      </c>
      <c r="D1" s="79"/>
      <c r="E1" s="2"/>
      <c r="F1" s="2"/>
      <c r="G1" s="2"/>
      <c r="H1" s="2"/>
    </row>
    <row r="2" spans="1:8" ht="12.75" customHeight="1">
      <c r="A2" s="8" t="s">
        <v>13</v>
      </c>
      <c r="B2" s="8" t="s">
        <v>15</v>
      </c>
      <c r="C2" s="8" t="s">
        <v>16</v>
      </c>
      <c r="D2" s="8" t="s">
        <v>18</v>
      </c>
      <c r="E2" s="8" t="s">
        <v>19</v>
      </c>
      <c r="F2" s="8" t="s">
        <v>20</v>
      </c>
      <c r="G2" s="8" t="s">
        <v>21</v>
      </c>
      <c r="H2" s="8" t="s">
        <v>22</v>
      </c>
    </row>
    <row r="3" spans="1:8" ht="12.75" customHeight="1">
      <c r="A3" s="9">
        <v>1</v>
      </c>
      <c r="B3" s="10">
        <v>46309</v>
      </c>
      <c r="C3" s="11" t="s">
        <v>25</v>
      </c>
      <c r="D3" s="11" t="s">
        <v>11</v>
      </c>
      <c r="E3" s="11" t="s">
        <v>27</v>
      </c>
      <c r="F3" s="11" t="s">
        <v>28</v>
      </c>
      <c r="G3" s="11" t="s">
        <v>30</v>
      </c>
      <c r="H3" s="12"/>
    </row>
    <row r="4" spans="1:8" ht="12.75" customHeight="1">
      <c r="A4" s="9">
        <v>2</v>
      </c>
      <c r="B4" s="10">
        <f t="shared" ref="B4:B11" si="0">B3+7</f>
        <v>46316</v>
      </c>
      <c r="C4" s="11" t="s">
        <v>11</v>
      </c>
      <c r="D4" s="11" t="s">
        <v>25</v>
      </c>
      <c r="E4" s="11" t="s">
        <v>27</v>
      </c>
      <c r="F4" s="11" t="s">
        <v>45</v>
      </c>
      <c r="G4" s="11" t="s">
        <v>30</v>
      </c>
      <c r="H4" s="12"/>
    </row>
    <row r="5" spans="1:8" ht="12.75" customHeight="1">
      <c r="A5" s="9">
        <v>3</v>
      </c>
      <c r="B5" s="10">
        <f t="shared" si="0"/>
        <v>46323</v>
      </c>
      <c r="C5" s="11" t="s">
        <v>25</v>
      </c>
      <c r="D5" s="11" t="s">
        <v>11</v>
      </c>
      <c r="E5" s="11" t="s">
        <v>27</v>
      </c>
      <c r="F5" s="11" t="s">
        <v>49</v>
      </c>
      <c r="G5" s="11" t="s">
        <v>30</v>
      </c>
      <c r="H5" s="12"/>
    </row>
    <row r="6" spans="1:8" ht="12.75" customHeight="1">
      <c r="A6" s="9">
        <v>4</v>
      </c>
      <c r="B6" s="10">
        <f t="shared" si="0"/>
        <v>46330</v>
      </c>
      <c r="C6" s="11" t="s">
        <v>11</v>
      </c>
      <c r="D6" s="11" t="s">
        <v>25</v>
      </c>
      <c r="E6" s="11" t="s">
        <v>27</v>
      </c>
      <c r="F6" s="11" t="s">
        <v>53</v>
      </c>
      <c r="G6" s="11" t="s">
        <v>30</v>
      </c>
      <c r="H6" s="12"/>
    </row>
    <row r="7" spans="1:8" ht="12.75" customHeight="1">
      <c r="A7" s="9">
        <v>5</v>
      </c>
      <c r="B7" s="10">
        <f t="shared" si="0"/>
        <v>46337</v>
      </c>
      <c r="C7" s="11" t="s">
        <v>25</v>
      </c>
      <c r="D7" s="11" t="s">
        <v>11</v>
      </c>
      <c r="E7" s="11" t="s">
        <v>27</v>
      </c>
      <c r="F7" s="11" t="s">
        <v>57</v>
      </c>
      <c r="G7" s="11" t="s">
        <v>30</v>
      </c>
      <c r="H7" s="12"/>
    </row>
    <row r="8" spans="1:8" ht="12.75" customHeight="1">
      <c r="A8" s="9">
        <v>6</v>
      </c>
      <c r="B8" s="10">
        <f t="shared" si="0"/>
        <v>46344</v>
      </c>
      <c r="C8" s="11" t="s">
        <v>11</v>
      </c>
      <c r="D8" s="11" t="s">
        <v>25</v>
      </c>
      <c r="E8" s="11" t="s">
        <v>27</v>
      </c>
      <c r="F8" s="11" t="s">
        <v>59</v>
      </c>
      <c r="G8" s="11" t="s">
        <v>30</v>
      </c>
      <c r="H8" s="12"/>
    </row>
    <row r="9" spans="1:8" ht="12.75" customHeight="1">
      <c r="A9" s="9">
        <v>7</v>
      </c>
      <c r="B9" s="10">
        <f t="shared" si="0"/>
        <v>46351</v>
      </c>
      <c r="C9" s="11" t="s">
        <v>25</v>
      </c>
      <c r="D9" s="11" t="s">
        <v>11</v>
      </c>
      <c r="E9" s="11" t="s">
        <v>27</v>
      </c>
      <c r="F9" s="11" t="s">
        <v>60</v>
      </c>
      <c r="G9" s="11" t="s">
        <v>30</v>
      </c>
      <c r="H9" s="16" t="s">
        <v>61</v>
      </c>
    </row>
    <row r="10" spans="1:8" ht="12.75" customHeight="1">
      <c r="A10" s="9">
        <v>8</v>
      </c>
      <c r="B10" s="10">
        <f t="shared" si="0"/>
        <v>46358</v>
      </c>
      <c r="C10" s="11" t="s">
        <v>11</v>
      </c>
      <c r="D10" s="11" t="s">
        <v>25</v>
      </c>
      <c r="E10" s="11" t="s">
        <v>27</v>
      </c>
      <c r="F10" s="11" t="s">
        <v>45</v>
      </c>
      <c r="G10" s="11" t="s">
        <v>30</v>
      </c>
      <c r="H10" s="12"/>
    </row>
    <row r="11" spans="1:8" ht="12.75" customHeight="1">
      <c r="A11" s="9">
        <v>9</v>
      </c>
      <c r="B11" s="10">
        <f t="shared" si="0"/>
        <v>46365</v>
      </c>
      <c r="C11" s="11" t="s">
        <v>25</v>
      </c>
      <c r="D11" s="11" t="s">
        <v>11</v>
      </c>
      <c r="E11" s="11" t="s">
        <v>27</v>
      </c>
      <c r="F11" s="11" t="s">
        <v>49</v>
      </c>
      <c r="G11" s="11" t="s">
        <v>30</v>
      </c>
      <c r="H11" s="12"/>
    </row>
    <row r="12" spans="1:8" ht="12.75" customHeight="1">
      <c r="A12" s="9">
        <v>10</v>
      </c>
      <c r="B12" s="10">
        <v>46398</v>
      </c>
      <c r="C12" s="11" t="s">
        <v>11</v>
      </c>
      <c r="D12" s="11" t="s">
        <v>25</v>
      </c>
      <c r="E12" s="11" t="s">
        <v>27</v>
      </c>
      <c r="F12" s="11" t="s">
        <v>53</v>
      </c>
      <c r="G12" s="11" t="s">
        <v>30</v>
      </c>
      <c r="H12" s="12"/>
    </row>
    <row r="13" spans="1:8" ht="12.75" customHeight="1">
      <c r="A13" s="9">
        <v>11</v>
      </c>
      <c r="B13" s="10">
        <f t="shared" ref="B13:B17" si="1">B12+7</f>
        <v>46405</v>
      </c>
      <c r="C13" s="11" t="s">
        <v>25</v>
      </c>
      <c r="D13" s="11" t="s">
        <v>11</v>
      </c>
      <c r="E13" s="11" t="s">
        <v>27</v>
      </c>
      <c r="F13" s="11" t="s">
        <v>57</v>
      </c>
      <c r="G13" s="11" t="s">
        <v>30</v>
      </c>
      <c r="H13" s="12"/>
    </row>
    <row r="14" spans="1:8" ht="12.75" customHeight="1">
      <c r="A14" s="9">
        <v>12</v>
      </c>
      <c r="B14" s="10">
        <f t="shared" si="1"/>
        <v>46412</v>
      </c>
      <c r="C14" s="11" t="s">
        <v>11</v>
      </c>
      <c r="D14" s="11" t="s">
        <v>25</v>
      </c>
      <c r="E14" s="11" t="s">
        <v>27</v>
      </c>
      <c r="F14" s="11" t="s">
        <v>59</v>
      </c>
      <c r="G14" s="11" t="s">
        <v>30</v>
      </c>
      <c r="H14" s="12"/>
    </row>
    <row r="15" spans="1:8" ht="12.75" customHeight="1">
      <c r="A15" s="9">
        <v>13</v>
      </c>
      <c r="B15" s="10">
        <f t="shared" si="1"/>
        <v>46419</v>
      </c>
      <c r="C15" s="11" t="s">
        <v>25</v>
      </c>
      <c r="D15" s="11" t="s">
        <v>11</v>
      </c>
      <c r="E15" s="11" t="s">
        <v>27</v>
      </c>
      <c r="F15" s="11" t="s">
        <v>60</v>
      </c>
      <c r="G15" s="11" t="s">
        <v>30</v>
      </c>
      <c r="H15" s="12"/>
    </row>
    <row r="16" spans="1:8" ht="12.75" customHeight="1">
      <c r="A16" s="9">
        <v>14</v>
      </c>
      <c r="B16" s="10">
        <f t="shared" si="1"/>
        <v>46426</v>
      </c>
      <c r="C16" s="11" t="s">
        <v>11</v>
      </c>
      <c r="D16" s="11" t="s">
        <v>25</v>
      </c>
      <c r="E16" s="11" t="s">
        <v>27</v>
      </c>
      <c r="F16" s="11" t="s">
        <v>45</v>
      </c>
      <c r="G16" s="11" t="s">
        <v>30</v>
      </c>
      <c r="H16" s="16" t="s">
        <v>83</v>
      </c>
    </row>
    <row r="17" spans="1:8" ht="12.75" customHeight="1">
      <c r="A17" s="9">
        <v>15</v>
      </c>
      <c r="B17" s="10">
        <f t="shared" si="1"/>
        <v>46433</v>
      </c>
      <c r="C17" s="11" t="s">
        <v>25</v>
      </c>
      <c r="D17" s="11" t="s">
        <v>11</v>
      </c>
      <c r="E17" s="11" t="s">
        <v>27</v>
      </c>
      <c r="F17" s="11" t="s">
        <v>49</v>
      </c>
      <c r="G17" s="11" t="s">
        <v>30</v>
      </c>
      <c r="H17" s="16" t="s">
        <v>85</v>
      </c>
    </row>
    <row r="18" spans="1:8" ht="12.75" customHeight="1">
      <c r="A18" s="9"/>
      <c r="B18" s="18"/>
      <c r="C18" s="11"/>
      <c r="D18" s="11"/>
      <c r="E18" s="11"/>
      <c r="F18" s="11"/>
      <c r="G18" s="11"/>
      <c r="H18" s="12"/>
    </row>
    <row r="19" spans="1:8" ht="12.75" customHeight="1">
      <c r="A19" s="16" t="s">
        <v>88</v>
      </c>
      <c r="B19" s="12"/>
      <c r="C19" s="16"/>
      <c r="D19" s="16"/>
      <c r="E19" s="16"/>
      <c r="F19" s="16"/>
      <c r="G19" s="16"/>
      <c r="H19" s="12"/>
    </row>
    <row r="20" spans="1:8" ht="12.75" customHeight="1">
      <c r="A20" s="16"/>
      <c r="B20" s="18"/>
      <c r="C20" s="11"/>
      <c r="D20" s="11"/>
      <c r="E20" s="11"/>
      <c r="F20" s="11"/>
      <c r="G20" s="11"/>
      <c r="H20" s="12"/>
    </row>
    <row r="21" spans="1:8" ht="12.75" customHeight="1">
      <c r="A21" s="9"/>
      <c r="B21" s="18"/>
      <c r="C21" s="11"/>
      <c r="D21" s="11"/>
      <c r="E21" s="11"/>
      <c r="F21" s="11"/>
      <c r="G21" s="11"/>
      <c r="H21" s="12"/>
    </row>
  </sheetData>
  <mergeCells count="1">
    <mergeCell ref="C1:D1"/>
  </mergeCells>
  <printOptions horizontalCentered="1" gridLines="1"/>
  <pageMargins left="0.70866141732283472" right="0.70866141732283472" top="0.74803149606299213" bottom="0.74803149606299213" header="0" footer="0"/>
  <pageSetup paperSize="9" scale="81" fitToHeight="0" pageOrder="overThenDown" orientation="landscape" cellComments="atEnd" r:id="rId1"/>
  <headerFooter>
    <oddHeader>&amp;LPlanning Document|&amp;C&amp;A</oddHeader>
    <oddFooter>&amp;LPage &amp;P of &amp;N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29"/>
  <sheetViews>
    <sheetView tabSelected="1" workbookViewId="0">
      <selection activeCell="B3" sqref="B3"/>
    </sheetView>
  </sheetViews>
  <sheetFormatPr baseColWidth="10" defaultColWidth="12.5703125" defaultRowHeight="12.75" customHeight="1"/>
  <cols>
    <col min="1" max="1" width="25.140625" customWidth="1"/>
    <col min="2" max="2" width="175" customWidth="1"/>
  </cols>
  <sheetData>
    <row r="1" spans="1:2">
      <c r="A1" s="5" t="s">
        <v>1</v>
      </c>
      <c r="B1" s="6"/>
    </row>
    <row r="2" spans="1:2" ht="89.25">
      <c r="A2" s="7"/>
      <c r="B2" s="7" t="s">
        <v>14</v>
      </c>
    </row>
    <row r="3" spans="1:2">
      <c r="A3" s="5" t="s">
        <v>17</v>
      </c>
      <c r="B3" s="6"/>
    </row>
    <row r="4" spans="1:2" ht="76.5">
      <c r="A4" s="7"/>
      <c r="B4" s="7" t="s">
        <v>23</v>
      </c>
    </row>
    <row r="5" spans="1:2">
      <c r="A5" s="5" t="s">
        <v>24</v>
      </c>
      <c r="B5" s="6"/>
    </row>
    <row r="6" spans="1:2" ht="178.5">
      <c r="A6" s="7"/>
      <c r="B6" s="7" t="s">
        <v>26</v>
      </c>
    </row>
    <row r="7" spans="1:2">
      <c r="A7" s="5" t="s">
        <v>29</v>
      </c>
      <c r="B7" s="6"/>
    </row>
    <row r="8" spans="1:2" ht="51">
      <c r="A8" s="7"/>
      <c r="B8" s="7" t="s">
        <v>31</v>
      </c>
    </row>
    <row r="9" spans="1:2">
      <c r="A9" s="5" t="s">
        <v>32</v>
      </c>
      <c r="B9" s="6"/>
    </row>
    <row r="10" spans="1:2" ht="76.5">
      <c r="A10" s="7"/>
      <c r="B10" s="7" t="s">
        <v>33</v>
      </c>
    </row>
    <row r="11" spans="1:2">
      <c r="A11" s="5" t="s">
        <v>34</v>
      </c>
      <c r="B11" s="6"/>
    </row>
    <row r="12" spans="1:2" ht="63.75">
      <c r="A12" s="7"/>
      <c r="B12" s="7" t="s">
        <v>42</v>
      </c>
    </row>
    <row r="13" spans="1:2">
      <c r="A13" s="5" t="s">
        <v>44</v>
      </c>
      <c r="B13" s="6"/>
    </row>
    <row r="14" spans="1:2" ht="102">
      <c r="A14" s="7"/>
      <c r="B14" s="7" t="s">
        <v>46</v>
      </c>
    </row>
    <row r="15" spans="1:2">
      <c r="A15" s="5" t="s">
        <v>47</v>
      </c>
      <c r="B15" s="6"/>
    </row>
    <row r="16" spans="1:2" ht="76.5">
      <c r="A16" s="7"/>
      <c r="B16" s="7" t="s">
        <v>48</v>
      </c>
    </row>
    <row r="17" spans="1:2">
      <c r="A17" s="5" t="s">
        <v>50</v>
      </c>
      <c r="B17" s="6"/>
    </row>
    <row r="18" spans="1:2" ht="38.25">
      <c r="A18" s="7"/>
      <c r="B18" s="17" t="s">
        <v>58</v>
      </c>
    </row>
    <row r="19" spans="1:2">
      <c r="A19" s="5" t="s">
        <v>75</v>
      </c>
      <c r="B19" s="5"/>
    </row>
    <row r="21" spans="1:2">
      <c r="A21" s="4" t="s">
        <v>21</v>
      </c>
      <c r="B21" s="4" t="s">
        <v>30</v>
      </c>
    </row>
    <row r="22" spans="1:2">
      <c r="A22" s="4" t="s">
        <v>76</v>
      </c>
      <c r="B22" s="4" t="s">
        <v>77</v>
      </c>
    </row>
    <row r="23" spans="1:2" ht="1.5" customHeight="1">
      <c r="A23" s="4" t="s">
        <v>76</v>
      </c>
      <c r="B23" s="4" t="s">
        <v>11</v>
      </c>
    </row>
    <row r="24" spans="1:2">
      <c r="A24" s="4" t="s">
        <v>78</v>
      </c>
      <c r="B24" s="4" t="s">
        <v>73</v>
      </c>
    </row>
    <row r="25" spans="1:2">
      <c r="A25" s="4" t="s">
        <v>78</v>
      </c>
      <c r="B25" s="4" t="s">
        <v>79</v>
      </c>
    </row>
    <row r="26" spans="1:2">
      <c r="A26" s="4" t="s">
        <v>78</v>
      </c>
      <c r="B26" s="4" t="s">
        <v>82</v>
      </c>
    </row>
    <row r="27" spans="1:2">
      <c r="A27" s="4" t="s">
        <v>78</v>
      </c>
      <c r="B27" s="4" t="s">
        <v>60</v>
      </c>
    </row>
    <row r="28" spans="1:2">
      <c r="A28" s="4" t="s">
        <v>78</v>
      </c>
      <c r="B28" s="4" t="s">
        <v>59</v>
      </c>
    </row>
    <row r="29" spans="1:2">
      <c r="A29" s="4" t="s">
        <v>78</v>
      </c>
      <c r="B29" s="4" t="s">
        <v>73</v>
      </c>
    </row>
  </sheetData>
  <hyperlinks>
    <hyperlink ref="B18" r:id="rId1" xr:uid="{00000000-0004-0000-0300-000000000000}"/>
  </hyperlinks>
  <printOptions horizontalCentered="1" gridLines="1"/>
  <pageMargins left="0.70866141732283472" right="0.70866141732283472" top="0.74803149606299213" bottom="0.74803149606299213" header="0" footer="0"/>
  <pageSetup paperSize="9" scale="66" fitToHeight="0" pageOrder="overThenDown" orientation="landscape" cellComments="atEnd" r:id="rId2"/>
  <headerFooter>
    <oddHeader>&amp;LPlanning Document|&amp;C&amp;A</oddHeader>
    <oddFooter>&amp;LPage &amp;P of &amp;N</oddFooter>
  </headerFooter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62.5703125" customWidth="1"/>
  </cols>
  <sheetData>
    <row r="1" spans="1:2" ht="12.75" customHeight="1">
      <c r="A1" s="21" t="s">
        <v>101</v>
      </c>
      <c r="B1" s="21" t="s">
        <v>102</v>
      </c>
    </row>
    <row r="2" spans="1:2" ht="12.75" customHeight="1">
      <c r="A2" s="22"/>
      <c r="B2" s="22"/>
    </row>
    <row r="3" spans="1:2" ht="12.75" customHeight="1">
      <c r="A3" s="80" t="s">
        <v>103</v>
      </c>
      <c r="B3" s="80" t="s">
        <v>104</v>
      </c>
    </row>
    <row r="4" spans="1:2" ht="12.75" customHeight="1">
      <c r="A4" s="79"/>
      <c r="B4" s="79"/>
    </row>
    <row r="5" spans="1:2" ht="12.75" customHeight="1">
      <c r="A5" s="79"/>
      <c r="B5" s="79"/>
    </row>
    <row r="6" spans="1:2" ht="12.75" customHeight="1">
      <c r="A6" s="79"/>
      <c r="B6" s="79"/>
    </row>
    <row r="7" spans="1:2" ht="12.75" customHeight="1">
      <c r="A7" s="79"/>
      <c r="B7" s="79"/>
    </row>
    <row r="8" spans="1:2" ht="12.75" customHeight="1">
      <c r="A8" s="79"/>
      <c r="B8" s="79"/>
    </row>
    <row r="9" spans="1:2" ht="12.75" customHeight="1">
      <c r="A9" s="79"/>
      <c r="B9" s="79"/>
    </row>
    <row r="10" spans="1:2" ht="12.75" customHeight="1">
      <c r="A10" s="79"/>
      <c r="B10" s="79"/>
    </row>
    <row r="11" spans="1:2" ht="12.75" customHeight="1">
      <c r="A11" s="79"/>
      <c r="B11" s="79"/>
    </row>
    <row r="12" spans="1:2" ht="12.75" customHeight="1">
      <c r="A12" s="79"/>
      <c r="B12" s="79"/>
    </row>
    <row r="13" spans="1:2" ht="12.75" customHeight="1">
      <c r="A13" s="79"/>
      <c r="B13" s="79"/>
    </row>
    <row r="14" spans="1:2" ht="12.75" customHeight="1">
      <c r="A14" s="79"/>
      <c r="B14" s="79"/>
    </row>
    <row r="15" spans="1:2" ht="12.75" customHeight="1">
      <c r="A15" s="79"/>
      <c r="B15" s="79"/>
    </row>
    <row r="16" spans="1:2" ht="12.75" customHeight="1">
      <c r="A16" s="79"/>
      <c r="B16" s="79"/>
    </row>
    <row r="17" spans="1:2" ht="12.75" customHeight="1">
      <c r="A17" s="79"/>
      <c r="B17" s="79"/>
    </row>
    <row r="18" spans="1:2" ht="12.75" customHeight="1">
      <c r="A18" s="79"/>
      <c r="B18" s="79"/>
    </row>
    <row r="19" spans="1:2" ht="12.75" customHeight="1">
      <c r="A19" s="79"/>
      <c r="B19" s="79"/>
    </row>
    <row r="20" spans="1:2" ht="12.75" customHeight="1">
      <c r="A20" s="79"/>
      <c r="B20" s="79"/>
    </row>
  </sheetData>
  <mergeCells count="2">
    <mergeCell ref="A3:A20"/>
    <mergeCell ref="B3:B20"/>
  </mergeCells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Document|&amp;C&amp;A</oddHeader>
    <oddFooter>&amp;LPage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22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25.140625" customWidth="1"/>
    <col min="2" max="2" width="87.5703125" customWidth="1"/>
  </cols>
  <sheetData>
    <row r="1" spans="1:2">
      <c r="A1" s="1" t="s">
        <v>106</v>
      </c>
      <c r="B1" s="1" t="s">
        <v>108</v>
      </c>
    </row>
    <row r="2" spans="1:2" ht="33" customHeight="1">
      <c r="A2" s="24" t="s">
        <v>109</v>
      </c>
      <c r="B2" s="24" t="s">
        <v>111</v>
      </c>
    </row>
    <row r="3" spans="1:2" ht="30.75" customHeight="1">
      <c r="A3" s="24" t="s">
        <v>112</v>
      </c>
      <c r="B3" s="24" t="s">
        <v>113</v>
      </c>
    </row>
    <row r="4" spans="1:2" ht="30" customHeight="1">
      <c r="A4" s="24" t="s">
        <v>115</v>
      </c>
      <c r="B4" s="24" t="s">
        <v>116</v>
      </c>
    </row>
    <row r="5" spans="1:2" ht="28.5">
      <c r="A5" s="24" t="s">
        <v>117</v>
      </c>
      <c r="B5" s="24" t="s">
        <v>118</v>
      </c>
    </row>
    <row r="6" spans="1:2" ht="28.5">
      <c r="A6" s="24" t="s">
        <v>119</v>
      </c>
      <c r="B6" s="24" t="s">
        <v>120</v>
      </c>
    </row>
    <row r="7" spans="1:2" ht="28.5">
      <c r="A7" s="24" t="s">
        <v>121</v>
      </c>
      <c r="B7" s="24" t="s">
        <v>122</v>
      </c>
    </row>
    <row r="8" spans="1:2" ht="28.5">
      <c r="A8" s="24" t="s">
        <v>123</v>
      </c>
      <c r="B8" s="24" t="s">
        <v>124</v>
      </c>
    </row>
    <row r="9" spans="1:2" ht="28.5">
      <c r="A9" s="24" t="s">
        <v>125</v>
      </c>
      <c r="B9" s="24" t="s">
        <v>126</v>
      </c>
    </row>
    <row r="10" spans="1:2" ht="28.5">
      <c r="A10" s="24" t="s">
        <v>127</v>
      </c>
      <c r="B10" s="24" t="s">
        <v>128</v>
      </c>
    </row>
    <row r="11" spans="1:2" ht="28.5">
      <c r="A11" s="24" t="s">
        <v>129</v>
      </c>
      <c r="B11" s="24" t="s">
        <v>130</v>
      </c>
    </row>
    <row r="12" spans="1:2" ht="28.5">
      <c r="A12" s="24" t="s">
        <v>131</v>
      </c>
      <c r="B12" s="24" t="s">
        <v>132</v>
      </c>
    </row>
    <row r="13" spans="1:2" ht="28.5">
      <c r="A13" s="24" t="s">
        <v>133</v>
      </c>
      <c r="B13" s="24" t="s">
        <v>134</v>
      </c>
    </row>
    <row r="14" spans="1:2" ht="28.5">
      <c r="A14" s="24" t="s">
        <v>135</v>
      </c>
      <c r="B14" s="24" t="s">
        <v>136</v>
      </c>
    </row>
    <row r="15" spans="1:2" ht="28.5">
      <c r="A15" s="24" t="s">
        <v>137</v>
      </c>
      <c r="B15" s="24" t="s">
        <v>138</v>
      </c>
    </row>
    <row r="16" spans="1:2" ht="28.5">
      <c r="A16" s="24" t="s">
        <v>139</v>
      </c>
      <c r="B16" s="24" t="s">
        <v>140</v>
      </c>
    </row>
    <row r="17" spans="1:2" ht="28.5">
      <c r="A17" s="24" t="s">
        <v>142</v>
      </c>
      <c r="B17" s="24" t="s">
        <v>143</v>
      </c>
    </row>
    <row r="18" spans="1:2" ht="28.5">
      <c r="A18" s="24" t="s">
        <v>144</v>
      </c>
      <c r="B18" s="24" t="s">
        <v>146</v>
      </c>
    </row>
    <row r="19" spans="1:2" ht="28.5">
      <c r="A19" s="24" t="s">
        <v>147</v>
      </c>
      <c r="B19" s="24" t="s">
        <v>148</v>
      </c>
    </row>
    <row r="20" spans="1:2" ht="28.5">
      <c r="A20" s="24" t="s">
        <v>149</v>
      </c>
      <c r="B20" s="24" t="s">
        <v>150</v>
      </c>
    </row>
    <row r="21" spans="1:2" ht="28.5">
      <c r="A21" s="24" t="s">
        <v>151</v>
      </c>
      <c r="B21" s="24" t="s">
        <v>153</v>
      </c>
    </row>
    <row r="22" spans="1:2" ht="38.25" customHeight="1">
      <c r="A22" s="24" t="s">
        <v>154</v>
      </c>
      <c r="B22" s="24" t="s">
        <v>155</v>
      </c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Document|&amp;C&amp;A</oddHeader>
    <oddFooter>&amp;LPage &amp;P of &amp;N</oddFoot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12.5703125" customWidth="1"/>
    <col min="2" max="2" width="112.5703125" customWidth="1"/>
  </cols>
  <sheetData>
    <row r="1" spans="1:2" ht="12.75" customHeight="1">
      <c r="A1" s="23" t="s">
        <v>107</v>
      </c>
      <c r="B1" s="1" t="s">
        <v>110</v>
      </c>
    </row>
    <row r="2" spans="1:2" ht="12.75" customHeight="1">
      <c r="A2" s="25">
        <v>1</v>
      </c>
      <c r="B2" s="4" t="s">
        <v>114</v>
      </c>
    </row>
    <row r="3" spans="1:2" ht="12.75" customHeight="1">
      <c r="A3" s="25">
        <f t="shared" ref="A3:A16" si="0">A2+1</f>
        <v>2</v>
      </c>
      <c r="B3" s="4" t="s">
        <v>141</v>
      </c>
    </row>
    <row r="4" spans="1:2" ht="12.75" customHeight="1">
      <c r="A4" s="25">
        <f t="shared" si="0"/>
        <v>3</v>
      </c>
      <c r="B4" s="4" t="s">
        <v>145</v>
      </c>
    </row>
    <row r="5" spans="1:2" ht="12.75" customHeight="1">
      <c r="A5" s="25">
        <f t="shared" si="0"/>
        <v>4</v>
      </c>
      <c r="B5" s="4" t="s">
        <v>152</v>
      </c>
    </row>
    <row r="6" spans="1:2" ht="12.75" customHeight="1">
      <c r="A6" s="25">
        <f t="shared" si="0"/>
        <v>5</v>
      </c>
      <c r="B6" s="4" t="s">
        <v>156</v>
      </c>
    </row>
    <row r="7" spans="1:2" ht="12.75" customHeight="1">
      <c r="A7" s="25">
        <f t="shared" si="0"/>
        <v>6</v>
      </c>
      <c r="B7" s="4"/>
    </row>
    <row r="8" spans="1:2" ht="12.75" customHeight="1">
      <c r="A8" s="25">
        <f t="shared" si="0"/>
        <v>7</v>
      </c>
      <c r="B8" s="4"/>
    </row>
    <row r="9" spans="1:2" ht="12.75" customHeight="1">
      <c r="A9" s="25">
        <f t="shared" si="0"/>
        <v>8</v>
      </c>
      <c r="B9" s="4"/>
    </row>
    <row r="10" spans="1:2" ht="12.75" customHeight="1">
      <c r="A10" s="25">
        <f t="shared" si="0"/>
        <v>9</v>
      </c>
      <c r="B10" s="4"/>
    </row>
    <row r="11" spans="1:2" ht="12.75" customHeight="1">
      <c r="A11" s="25">
        <f t="shared" si="0"/>
        <v>10</v>
      </c>
      <c r="B11" s="4"/>
    </row>
    <row r="12" spans="1:2" ht="12.75" customHeight="1">
      <c r="A12" s="25">
        <f t="shared" si="0"/>
        <v>11</v>
      </c>
      <c r="B12" s="4"/>
    </row>
    <row r="13" spans="1:2" ht="12.75" customHeight="1">
      <c r="A13" s="25">
        <f t="shared" si="0"/>
        <v>12</v>
      </c>
      <c r="B13" s="4"/>
    </row>
    <row r="14" spans="1:2" ht="12.75" customHeight="1">
      <c r="A14" s="25">
        <f t="shared" si="0"/>
        <v>13</v>
      </c>
      <c r="B14" s="4"/>
    </row>
    <row r="15" spans="1:2" ht="12.75" customHeight="1">
      <c r="A15" s="25">
        <f t="shared" si="0"/>
        <v>14</v>
      </c>
      <c r="B15" s="4"/>
    </row>
    <row r="16" spans="1:2" ht="12.75" customHeight="1">
      <c r="A16" s="25">
        <f t="shared" si="0"/>
        <v>15</v>
      </c>
      <c r="B16" s="4"/>
    </row>
    <row r="17" spans="1:2" ht="12.75" customHeight="1">
      <c r="A17" s="25"/>
      <c r="B17" s="4"/>
    </row>
    <row r="18" spans="1:2" ht="12.75" customHeight="1">
      <c r="A18" s="25"/>
      <c r="B18" s="4"/>
    </row>
    <row r="19" spans="1:2" ht="12.75" customHeight="1">
      <c r="A19" s="25"/>
      <c r="B19" s="4"/>
    </row>
    <row r="20" spans="1:2" ht="12.75" customHeight="1">
      <c r="A20" s="25"/>
      <c r="B20" s="4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Document|&amp;C&amp;A</oddHeader>
    <oddFooter>&amp;LPage &amp;P of &amp;N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12.5703125" customWidth="1"/>
    <col min="2" max="2" width="112.5703125" customWidth="1"/>
  </cols>
  <sheetData>
    <row r="1" spans="1:2" ht="12.75" customHeight="1">
      <c r="A1" s="23" t="s">
        <v>107</v>
      </c>
      <c r="B1" s="1" t="s">
        <v>157</v>
      </c>
    </row>
    <row r="2" spans="1:2" ht="12.75" customHeight="1">
      <c r="A2" s="25">
        <v>1</v>
      </c>
      <c r="B2" s="4"/>
    </row>
    <row r="3" spans="1:2" ht="12.75" customHeight="1">
      <c r="A3" s="25">
        <f t="shared" ref="A3:A16" si="0">A2+1</f>
        <v>2</v>
      </c>
      <c r="B3" s="4"/>
    </row>
    <row r="4" spans="1:2" ht="12.75" customHeight="1">
      <c r="A4" s="25">
        <f t="shared" si="0"/>
        <v>3</v>
      </c>
      <c r="B4" s="4"/>
    </row>
    <row r="5" spans="1:2" ht="12.75" customHeight="1">
      <c r="A5" s="25">
        <f t="shared" si="0"/>
        <v>4</v>
      </c>
    </row>
    <row r="6" spans="1:2" ht="12.75" customHeight="1">
      <c r="A6" s="25">
        <f t="shared" si="0"/>
        <v>5</v>
      </c>
      <c r="B6" s="4"/>
    </row>
    <row r="7" spans="1:2" ht="12.75" customHeight="1">
      <c r="A7" s="25">
        <f t="shared" si="0"/>
        <v>6</v>
      </c>
      <c r="B7" s="4"/>
    </row>
    <row r="8" spans="1:2" ht="12.75" customHeight="1">
      <c r="A8" s="25">
        <f t="shared" si="0"/>
        <v>7</v>
      </c>
      <c r="B8" s="4"/>
    </row>
    <row r="9" spans="1:2" ht="12.75" customHeight="1">
      <c r="A9" s="25">
        <f t="shared" si="0"/>
        <v>8</v>
      </c>
      <c r="B9" s="4"/>
    </row>
    <row r="10" spans="1:2" ht="12.75" customHeight="1">
      <c r="A10" s="25">
        <f t="shared" si="0"/>
        <v>9</v>
      </c>
      <c r="B10" s="4"/>
    </row>
    <row r="11" spans="1:2" ht="12.75" customHeight="1">
      <c r="A11" s="25">
        <f t="shared" si="0"/>
        <v>10</v>
      </c>
      <c r="B11" s="4"/>
    </row>
    <row r="12" spans="1:2" ht="12.75" customHeight="1">
      <c r="A12" s="25">
        <f t="shared" si="0"/>
        <v>11</v>
      </c>
      <c r="B12" s="4"/>
    </row>
    <row r="13" spans="1:2" ht="12.75" customHeight="1">
      <c r="A13" s="25">
        <f t="shared" si="0"/>
        <v>12</v>
      </c>
      <c r="B13" s="4"/>
    </row>
    <row r="14" spans="1:2" ht="12.75" customHeight="1">
      <c r="A14" s="25">
        <f t="shared" si="0"/>
        <v>13</v>
      </c>
      <c r="B14" s="4"/>
    </row>
    <row r="15" spans="1:2" ht="12.75" customHeight="1">
      <c r="A15" s="25">
        <f t="shared" si="0"/>
        <v>14</v>
      </c>
      <c r="B15" s="4"/>
    </row>
    <row r="16" spans="1:2" ht="12.75" customHeight="1">
      <c r="A16" s="25">
        <f t="shared" si="0"/>
        <v>15</v>
      </c>
      <c r="B16" s="4"/>
    </row>
    <row r="17" spans="1:2" ht="12.75" customHeight="1">
      <c r="A17" s="25"/>
      <c r="B17" s="4"/>
    </row>
    <row r="18" spans="1:2" ht="12.75" customHeight="1">
      <c r="A18" s="25"/>
      <c r="B18" s="26" t="s">
        <v>158</v>
      </c>
    </row>
    <row r="19" spans="1:2" ht="12.75" customHeight="1">
      <c r="A19" s="25"/>
      <c r="B19" s="4"/>
    </row>
    <row r="20" spans="1:2" ht="12.75" customHeight="1">
      <c r="A20" s="25"/>
      <c r="B20" s="4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Document|&amp;C&amp;A</oddHeader>
    <oddFooter>&amp;LPage &amp;P of &amp;N</oddFooter>
  </headerFooter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G34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6.42578125" customWidth="1"/>
    <col min="3" max="3" width="62.5703125" customWidth="1"/>
    <col min="4" max="7" width="15.7109375" customWidth="1"/>
  </cols>
  <sheetData>
    <row r="1" spans="1:7" ht="12.75" customHeight="1">
      <c r="A1" s="27" t="s">
        <v>159</v>
      </c>
      <c r="B1" s="28" t="s">
        <v>160</v>
      </c>
      <c r="C1" s="28" t="s">
        <v>161</v>
      </c>
      <c r="D1" s="29" t="s">
        <v>162</v>
      </c>
      <c r="E1" s="29" t="s">
        <v>163</v>
      </c>
      <c r="F1" s="29" t="s">
        <v>164</v>
      </c>
      <c r="G1" s="29" t="s">
        <v>165</v>
      </c>
    </row>
    <row r="2" spans="1:7" ht="12.75" customHeight="1">
      <c r="A2" s="30"/>
      <c r="B2" s="31"/>
      <c r="C2" s="6"/>
      <c r="D2" s="6"/>
      <c r="E2" s="6"/>
      <c r="F2" s="6"/>
      <c r="G2" s="6"/>
    </row>
    <row r="3" spans="1:7" ht="12.75" customHeight="1">
      <c r="A3" s="33" t="s">
        <v>166</v>
      </c>
      <c r="B3" s="34"/>
      <c r="C3" s="35"/>
      <c r="D3" s="35"/>
      <c r="E3" s="35"/>
      <c r="F3" s="35"/>
      <c r="G3" s="35"/>
    </row>
    <row r="4" spans="1:7" ht="12.75" customHeight="1">
      <c r="A4" s="30"/>
      <c r="B4" s="31"/>
      <c r="C4" s="6"/>
      <c r="D4" s="6"/>
      <c r="E4" s="6"/>
      <c r="F4" s="6"/>
      <c r="G4" s="6"/>
    </row>
    <row r="5" spans="1:7" ht="12.75" customHeight="1">
      <c r="A5" s="36" t="s">
        <v>170</v>
      </c>
      <c r="B5" s="11"/>
      <c r="C5" s="7"/>
      <c r="D5" s="37">
        <f>SUM(D8:D13)</f>
        <v>0</v>
      </c>
      <c r="E5" s="37">
        <f>D5</f>
        <v>0</v>
      </c>
      <c r="F5" s="7"/>
      <c r="G5" s="7"/>
    </row>
    <row r="6" spans="1:7" ht="12.75" customHeight="1">
      <c r="A6" s="30"/>
      <c r="B6" s="31"/>
      <c r="C6" s="6"/>
      <c r="D6" s="6"/>
      <c r="E6" s="6"/>
      <c r="F6" s="6"/>
      <c r="G6" s="6"/>
    </row>
    <row r="7" spans="1:7" ht="12.75" customHeight="1">
      <c r="A7" s="38" t="s">
        <v>171</v>
      </c>
      <c r="B7" s="39"/>
      <c r="C7" s="40"/>
      <c r="D7" s="40"/>
      <c r="E7" s="40"/>
      <c r="F7" s="40"/>
      <c r="G7" s="40"/>
    </row>
    <row r="8" spans="1:7" ht="12.75" customHeight="1">
      <c r="A8" s="30"/>
      <c r="B8" s="31"/>
      <c r="C8" s="6"/>
      <c r="D8" s="6"/>
      <c r="E8" s="41" t="s">
        <v>174</v>
      </c>
      <c r="F8" s="6"/>
      <c r="G8" s="41" t="s">
        <v>175</v>
      </c>
    </row>
    <row r="9" spans="1:7" ht="12.75" customHeight="1">
      <c r="A9" s="42">
        <v>1</v>
      </c>
      <c r="B9" s="36"/>
      <c r="C9" s="7"/>
      <c r="D9" s="37">
        <f>SUM(D16:D21)</f>
        <v>0</v>
      </c>
      <c r="E9" s="37">
        <f>$D$5</f>
        <v>0</v>
      </c>
      <c r="F9" s="37">
        <f>SUM(F16:F21)</f>
        <v>0</v>
      </c>
      <c r="G9" s="37">
        <f>$D$5</f>
        <v>0</v>
      </c>
    </row>
    <row r="10" spans="1:7" ht="12.75" customHeight="1">
      <c r="A10" s="30">
        <f t="shared" ref="A10:A11" si="0">A9+1</f>
        <v>2</v>
      </c>
      <c r="B10" s="31"/>
      <c r="C10" s="6"/>
      <c r="D10" s="43">
        <f>SUM(D22:D27)</f>
        <v>0</v>
      </c>
      <c r="E10" s="43">
        <f t="shared" ref="E10:E12" si="1">E9-D9</f>
        <v>0</v>
      </c>
      <c r="F10" s="43">
        <f>SUM(F22:F27)</f>
        <v>0</v>
      </c>
      <c r="G10" s="43">
        <f t="shared" ref="G10:G12" si="2">G9-F9</f>
        <v>0</v>
      </c>
    </row>
    <row r="11" spans="1:7" ht="12.75" customHeight="1">
      <c r="A11" s="42">
        <f t="shared" si="0"/>
        <v>3</v>
      </c>
      <c r="B11" s="36"/>
      <c r="C11" s="7"/>
      <c r="D11" s="37">
        <f>SUM(D28:D33)</f>
        <v>0</v>
      </c>
      <c r="E11" s="37">
        <f t="shared" si="1"/>
        <v>0</v>
      </c>
      <c r="F11" s="37">
        <f>SUM(F28:F33)</f>
        <v>0</v>
      </c>
      <c r="G11" s="37">
        <f t="shared" si="2"/>
        <v>0</v>
      </c>
    </row>
    <row r="12" spans="1:7" ht="12.75" customHeight="1">
      <c r="A12" s="30" t="s">
        <v>36</v>
      </c>
      <c r="B12" s="31"/>
      <c r="C12" s="6"/>
      <c r="D12" s="6"/>
      <c r="E12" s="43">
        <f t="shared" si="1"/>
        <v>0</v>
      </c>
      <c r="F12" s="6"/>
      <c r="G12" s="43">
        <f t="shared" si="2"/>
        <v>0</v>
      </c>
    </row>
    <row r="13" spans="1:7" ht="12.75" customHeight="1">
      <c r="A13" s="42"/>
      <c r="B13" s="36"/>
      <c r="C13" s="7"/>
      <c r="D13" s="7"/>
      <c r="E13" s="7"/>
      <c r="F13" s="7"/>
      <c r="G13" s="7"/>
    </row>
    <row r="14" spans="1:7" ht="12.75" customHeight="1">
      <c r="A14" s="53" t="s">
        <v>182</v>
      </c>
      <c r="B14" s="54"/>
      <c r="C14" s="57"/>
      <c r="D14" s="57"/>
      <c r="E14" s="57"/>
      <c r="F14" s="57"/>
      <c r="G14" s="57"/>
    </row>
    <row r="15" spans="1:7" ht="12.75" customHeight="1">
      <c r="A15" s="42"/>
      <c r="B15" s="36"/>
      <c r="C15" s="7"/>
      <c r="D15" s="7"/>
      <c r="E15" s="7"/>
      <c r="F15" s="7"/>
      <c r="G15" s="7"/>
    </row>
    <row r="16" spans="1:7" ht="12.75" customHeight="1">
      <c r="A16" s="63">
        <f t="shared" ref="A16:B16" si="3">A9</f>
        <v>1</v>
      </c>
      <c r="B16" s="65">
        <f t="shared" si="3"/>
        <v>0</v>
      </c>
      <c r="C16" s="6"/>
      <c r="D16" s="6"/>
      <c r="E16" s="6"/>
      <c r="F16" s="6"/>
      <c r="G16" s="6"/>
    </row>
    <row r="17" spans="1:7" ht="12.75" customHeight="1">
      <c r="A17" s="42"/>
      <c r="B17" s="66"/>
      <c r="C17" s="7"/>
      <c r="D17" s="7"/>
      <c r="E17" s="7"/>
      <c r="F17" s="7"/>
      <c r="G17" s="7"/>
    </row>
    <row r="18" spans="1:7" ht="12.75" customHeight="1">
      <c r="A18" s="30"/>
      <c r="B18" s="31"/>
      <c r="C18" s="31"/>
      <c r="D18" s="43"/>
      <c r="E18" s="31"/>
      <c r="F18" s="43"/>
      <c r="G18" s="31"/>
    </row>
    <row r="19" spans="1:7" ht="12.75" customHeight="1">
      <c r="A19" s="42"/>
      <c r="B19" s="66"/>
      <c r="C19" s="7"/>
      <c r="D19" s="37"/>
      <c r="E19" s="7"/>
      <c r="F19" s="37"/>
      <c r="G19" s="7"/>
    </row>
    <row r="20" spans="1:7" ht="12.75" customHeight="1">
      <c r="A20" s="30"/>
      <c r="B20" s="31"/>
      <c r="C20" s="31"/>
      <c r="D20" s="43"/>
      <c r="E20" s="31"/>
      <c r="F20" s="43"/>
      <c r="G20" s="31"/>
    </row>
    <row r="21" spans="1:7" ht="12.75" customHeight="1">
      <c r="A21" s="42"/>
      <c r="B21" s="66"/>
      <c r="C21" s="7"/>
      <c r="D21" s="37"/>
      <c r="E21" s="7"/>
      <c r="F21" s="37"/>
      <c r="G21" s="7"/>
    </row>
    <row r="22" spans="1:7" ht="12.75" customHeight="1">
      <c r="A22" s="63">
        <f t="shared" ref="A22:B22" si="4">A10</f>
        <v>2</v>
      </c>
      <c r="B22" s="65">
        <f t="shared" si="4"/>
        <v>0</v>
      </c>
      <c r="C22" s="6"/>
      <c r="D22" s="6"/>
      <c r="E22" s="6"/>
      <c r="F22" s="6"/>
      <c r="G22" s="6"/>
    </row>
    <row r="23" spans="1:7" ht="12.75" customHeight="1">
      <c r="A23" s="42"/>
      <c r="B23" s="66"/>
      <c r="C23" s="7"/>
      <c r="D23" s="7"/>
      <c r="E23" s="7"/>
      <c r="F23" s="7"/>
      <c r="G23" s="7"/>
    </row>
    <row r="24" spans="1:7" ht="12.75" customHeight="1">
      <c r="A24" s="30"/>
      <c r="B24" s="31"/>
      <c r="C24" s="31"/>
      <c r="D24" s="43"/>
      <c r="E24" s="31"/>
      <c r="F24" s="43"/>
      <c r="G24" s="31"/>
    </row>
    <row r="25" spans="1:7" ht="12.75" customHeight="1">
      <c r="A25" s="42"/>
      <c r="B25" s="66"/>
      <c r="C25" s="7"/>
      <c r="D25" s="37"/>
      <c r="E25" s="7"/>
      <c r="F25" s="37"/>
      <c r="G25" s="7"/>
    </row>
    <row r="26" spans="1:7" ht="12.75" customHeight="1">
      <c r="A26" s="30"/>
      <c r="B26" s="31"/>
      <c r="C26" s="31"/>
      <c r="D26" s="43"/>
      <c r="E26" s="31"/>
      <c r="F26" s="43"/>
      <c r="G26" s="31"/>
    </row>
    <row r="27" spans="1:7" ht="12.75" customHeight="1">
      <c r="A27" s="42"/>
      <c r="B27" s="66"/>
      <c r="C27" s="7"/>
      <c r="D27" s="37"/>
      <c r="E27" s="7"/>
      <c r="F27" s="37"/>
      <c r="G27" s="7"/>
    </row>
    <row r="28" spans="1:7" ht="12.75" customHeight="1">
      <c r="A28" s="63">
        <f t="shared" ref="A28:B28" si="5">A11</f>
        <v>3</v>
      </c>
      <c r="B28" s="65">
        <f t="shared" si="5"/>
        <v>0</v>
      </c>
      <c r="C28" s="6"/>
      <c r="D28" s="6"/>
      <c r="E28" s="6"/>
      <c r="F28" s="6"/>
      <c r="G28" s="6"/>
    </row>
    <row r="29" spans="1:7" ht="12.75" customHeight="1">
      <c r="A29" s="42"/>
      <c r="B29" s="66"/>
      <c r="C29" s="7"/>
      <c r="D29" s="7"/>
      <c r="E29" s="7"/>
      <c r="F29" s="7"/>
      <c r="G29" s="7"/>
    </row>
    <row r="30" spans="1:7" ht="12.75" customHeight="1">
      <c r="A30" s="30"/>
      <c r="B30" s="31"/>
      <c r="C30" s="31"/>
      <c r="D30" s="43"/>
      <c r="E30" s="31"/>
      <c r="F30" s="31"/>
      <c r="G30" s="31"/>
    </row>
    <row r="31" spans="1:7" ht="12.75" customHeight="1">
      <c r="A31" s="42"/>
      <c r="B31" s="66"/>
      <c r="C31" s="7"/>
      <c r="D31" s="37"/>
      <c r="E31" s="7"/>
      <c r="F31" s="7"/>
      <c r="G31" s="7"/>
    </row>
    <row r="32" spans="1:7" ht="12.75" customHeight="1">
      <c r="A32" s="30"/>
      <c r="B32" s="31"/>
      <c r="C32" s="6"/>
      <c r="D32" s="43"/>
      <c r="E32" s="31"/>
      <c r="F32" s="31"/>
      <c r="G32" s="31"/>
    </row>
    <row r="33" spans="1:7" ht="12.75" customHeight="1">
      <c r="A33" s="42"/>
      <c r="B33" s="66"/>
      <c r="C33" s="74" t="s">
        <v>226</v>
      </c>
      <c r="D33" s="37"/>
      <c r="E33" s="7"/>
      <c r="F33" s="7"/>
      <c r="G33" s="7"/>
    </row>
    <row r="34" spans="1:7" ht="12.75" customHeight="1">
      <c r="A34" s="30"/>
      <c r="B34" s="31"/>
      <c r="C34" s="6"/>
      <c r="D34" s="6"/>
      <c r="E34" s="6"/>
      <c r="F34" s="6"/>
      <c r="G34" s="6"/>
    </row>
  </sheetData>
  <printOptions horizontalCentered="1" gridLines="1"/>
  <pageMargins left="0.70866141732283472" right="0.70866141732283472" top="0.74803149606299213" bottom="0.74803149606299213" header="0" footer="0"/>
  <pageSetup paperSize="9" scale="96" fitToHeight="0" pageOrder="overThenDown" orientation="landscape" cellComments="atEnd" r:id="rId1"/>
  <headerFooter>
    <oddHeader>&amp;LPlanning Document|&amp;C&amp;A</oddHeader>
    <oddFooter>&amp;LPage &amp;P of &amp;N</oddFooter>
  </headerFooter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G34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6.42578125" customWidth="1"/>
    <col min="3" max="3" width="62.5703125" customWidth="1"/>
    <col min="4" max="7" width="15.7109375" customWidth="1"/>
  </cols>
  <sheetData>
    <row r="1" spans="1:7" ht="12.75" customHeight="1">
      <c r="A1" s="27" t="s">
        <v>159</v>
      </c>
      <c r="B1" s="32" t="s">
        <v>160</v>
      </c>
      <c r="C1" s="28" t="s">
        <v>161</v>
      </c>
      <c r="D1" s="29" t="s">
        <v>162</v>
      </c>
      <c r="E1" s="29" t="s">
        <v>163</v>
      </c>
      <c r="F1" s="29" t="s">
        <v>164</v>
      </c>
      <c r="G1" s="29" t="s">
        <v>165</v>
      </c>
    </row>
    <row r="2" spans="1:7" ht="12.75" customHeight="1">
      <c r="A2" s="30"/>
      <c r="B2" s="6"/>
      <c r="C2" s="6"/>
      <c r="D2" s="6"/>
      <c r="E2" s="6"/>
      <c r="F2" s="6"/>
      <c r="G2" s="6"/>
    </row>
    <row r="3" spans="1:7" ht="12.75" customHeight="1">
      <c r="A3" s="33" t="s">
        <v>166</v>
      </c>
      <c r="B3" s="35"/>
      <c r="C3" s="35"/>
      <c r="D3" s="35"/>
      <c r="E3" s="35"/>
      <c r="F3" s="35"/>
      <c r="G3" s="35"/>
    </row>
    <row r="4" spans="1:7" ht="12.75" customHeight="1">
      <c r="A4" s="30"/>
      <c r="B4" s="6"/>
      <c r="C4" s="6"/>
      <c r="D4" s="6"/>
      <c r="E4" s="6"/>
      <c r="F4" s="6"/>
      <c r="G4" s="6"/>
    </row>
    <row r="5" spans="1:7" ht="12.75" customHeight="1">
      <c r="A5" s="36" t="s">
        <v>170</v>
      </c>
      <c r="B5" s="7"/>
      <c r="C5" s="7"/>
      <c r="D5" s="37">
        <f>SUM(D8:D13)</f>
        <v>0</v>
      </c>
      <c r="E5" s="37">
        <f>D5</f>
        <v>0</v>
      </c>
      <c r="F5" s="7"/>
      <c r="G5" s="7"/>
    </row>
    <row r="6" spans="1:7" ht="12.75" customHeight="1">
      <c r="A6" s="30"/>
      <c r="B6" s="6"/>
      <c r="C6" s="6"/>
      <c r="D6" s="6"/>
      <c r="E6" s="6"/>
      <c r="F6" s="6"/>
      <c r="G6" s="6"/>
    </row>
    <row r="7" spans="1:7" ht="12.75" customHeight="1">
      <c r="A7" s="38" t="s">
        <v>171</v>
      </c>
      <c r="B7" s="39"/>
      <c r="C7" s="40"/>
      <c r="D7" s="40"/>
      <c r="E7" s="40"/>
      <c r="F7" s="40"/>
      <c r="G7" s="40"/>
    </row>
    <row r="8" spans="1:7" ht="12.75" customHeight="1">
      <c r="A8" s="30"/>
      <c r="B8" s="6"/>
      <c r="C8" s="6"/>
      <c r="D8" s="6"/>
      <c r="E8" s="41" t="s">
        <v>174</v>
      </c>
      <c r="F8" s="6"/>
      <c r="G8" s="41" t="s">
        <v>175</v>
      </c>
    </row>
    <row r="9" spans="1:7" ht="12.75" customHeight="1">
      <c r="A9" s="42">
        <v>1</v>
      </c>
      <c r="B9" s="7"/>
      <c r="C9" s="7"/>
      <c r="D9" s="37">
        <f>SUM(D16:D21)</f>
        <v>0</v>
      </c>
      <c r="E9" s="37">
        <f>$D$5</f>
        <v>0</v>
      </c>
      <c r="F9" s="37">
        <f>SUM(F16:F21)</f>
        <v>0</v>
      </c>
      <c r="G9" s="37">
        <f>$D$5</f>
        <v>0</v>
      </c>
    </row>
    <row r="10" spans="1:7" ht="12.75" customHeight="1">
      <c r="A10" s="30">
        <f t="shared" ref="A10:A11" si="0">A9+1</f>
        <v>2</v>
      </c>
      <c r="B10" s="6"/>
      <c r="C10" s="6"/>
      <c r="D10" s="43">
        <f>SUM(D22:D27)</f>
        <v>0</v>
      </c>
      <c r="E10" s="43">
        <f t="shared" ref="E10:E12" si="1">E9-D9</f>
        <v>0</v>
      </c>
      <c r="F10" s="43">
        <f>SUM(F22:F27)</f>
        <v>0</v>
      </c>
      <c r="G10" s="43">
        <f t="shared" ref="G10:G12" si="2">G9-F9</f>
        <v>0</v>
      </c>
    </row>
    <row r="11" spans="1:7" ht="12.75" customHeight="1">
      <c r="A11" s="42">
        <f t="shared" si="0"/>
        <v>3</v>
      </c>
      <c r="B11" s="7"/>
      <c r="C11" s="7"/>
      <c r="D11" s="37">
        <f>SUM(D28:D33)</f>
        <v>0</v>
      </c>
      <c r="E11" s="37">
        <f t="shared" si="1"/>
        <v>0</v>
      </c>
      <c r="F11" s="37">
        <f>SUM(F28:F33)</f>
        <v>0</v>
      </c>
      <c r="G11" s="37">
        <f t="shared" si="2"/>
        <v>0</v>
      </c>
    </row>
    <row r="12" spans="1:7" ht="12.75" customHeight="1">
      <c r="A12" s="30" t="s">
        <v>36</v>
      </c>
      <c r="B12" s="6"/>
      <c r="C12" s="6"/>
      <c r="D12" s="6"/>
      <c r="E12" s="43">
        <f t="shared" si="1"/>
        <v>0</v>
      </c>
      <c r="F12" s="6"/>
      <c r="G12" s="43">
        <f t="shared" si="2"/>
        <v>0</v>
      </c>
    </row>
    <row r="13" spans="1:7" ht="12.75" customHeight="1">
      <c r="A13" s="42"/>
      <c r="B13" s="7"/>
      <c r="C13" s="7"/>
      <c r="D13" s="7"/>
      <c r="E13" s="7"/>
      <c r="F13" s="7"/>
      <c r="G13" s="7"/>
    </row>
    <row r="14" spans="1:7" ht="12.75" customHeight="1">
      <c r="A14" s="53" t="s">
        <v>182</v>
      </c>
      <c r="B14" s="54"/>
      <c r="C14" s="57"/>
      <c r="D14" s="57"/>
      <c r="E14" s="57"/>
      <c r="F14" s="57"/>
      <c r="G14" s="57"/>
    </row>
    <row r="15" spans="1:7" ht="12.75" customHeight="1">
      <c r="A15" s="42"/>
      <c r="B15" s="7"/>
      <c r="C15" s="7"/>
      <c r="D15" s="7"/>
      <c r="E15" s="7"/>
      <c r="F15" s="7"/>
      <c r="G15" s="7"/>
    </row>
    <row r="16" spans="1:7" ht="12.75" customHeight="1">
      <c r="A16" s="63">
        <f>A9</f>
        <v>1</v>
      </c>
      <c r="B16" s="6"/>
      <c r="C16" s="6"/>
      <c r="D16" s="6"/>
      <c r="E16" s="6"/>
      <c r="F16" s="6"/>
      <c r="G16" s="6"/>
    </row>
    <row r="17" spans="1:7" ht="12.75" customHeight="1">
      <c r="A17" s="42"/>
      <c r="B17" s="66"/>
      <c r="C17" s="7"/>
      <c r="D17" s="7"/>
      <c r="E17" s="7"/>
      <c r="F17" s="7"/>
      <c r="G17" s="7"/>
    </row>
    <row r="18" spans="1:7" ht="12.75" customHeight="1">
      <c r="A18" s="30"/>
      <c r="B18" s="6"/>
      <c r="C18" s="31"/>
      <c r="D18" s="43"/>
      <c r="E18" s="31"/>
      <c r="F18" s="43"/>
      <c r="G18" s="31"/>
    </row>
    <row r="19" spans="1:7" ht="12.75" customHeight="1">
      <c r="A19" s="42"/>
      <c r="B19" s="7"/>
      <c r="C19" s="7"/>
      <c r="D19" s="37"/>
      <c r="E19" s="7"/>
      <c r="F19" s="37"/>
      <c r="G19" s="7"/>
    </row>
    <row r="20" spans="1:7" ht="12.75" customHeight="1">
      <c r="A20" s="30"/>
      <c r="B20" s="6"/>
      <c r="C20" s="31"/>
      <c r="D20" s="43"/>
      <c r="E20" s="31"/>
      <c r="F20" s="43"/>
      <c r="G20" s="31"/>
    </row>
    <row r="21" spans="1:7" ht="12.75" customHeight="1">
      <c r="A21" s="42"/>
      <c r="B21" s="7"/>
      <c r="C21" s="7"/>
      <c r="D21" s="37"/>
      <c r="E21" s="7"/>
      <c r="F21" s="37"/>
      <c r="G21" s="7"/>
    </row>
    <row r="22" spans="1:7" ht="12.75" customHeight="1">
      <c r="A22" s="63">
        <f>A10</f>
        <v>2</v>
      </c>
      <c r="B22" s="6"/>
      <c r="C22" s="6"/>
      <c r="D22" s="6"/>
      <c r="E22" s="6"/>
      <c r="F22" s="6"/>
      <c r="G22" s="6"/>
    </row>
    <row r="23" spans="1:7" ht="12.75" customHeight="1">
      <c r="A23" s="42"/>
      <c r="B23" s="66"/>
      <c r="C23" s="7"/>
      <c r="D23" s="7"/>
      <c r="E23" s="7"/>
      <c r="F23" s="7"/>
      <c r="G23" s="7"/>
    </row>
    <row r="24" spans="1:7" ht="12.75" customHeight="1">
      <c r="A24" s="30"/>
      <c r="B24" s="6"/>
      <c r="C24" s="31"/>
      <c r="D24" s="43"/>
      <c r="E24" s="31"/>
      <c r="F24" s="43"/>
      <c r="G24" s="31"/>
    </row>
    <row r="25" spans="1:7" ht="12.75" customHeight="1">
      <c r="A25" s="42"/>
      <c r="B25" s="7"/>
      <c r="C25" s="7"/>
      <c r="D25" s="37"/>
      <c r="E25" s="7"/>
      <c r="F25" s="37"/>
      <c r="G25" s="7"/>
    </row>
    <row r="26" spans="1:7" ht="12.75" customHeight="1">
      <c r="A26" s="30"/>
      <c r="B26" s="6"/>
      <c r="C26" s="31"/>
      <c r="D26" s="43"/>
      <c r="E26" s="31"/>
      <c r="F26" s="43"/>
      <c r="G26" s="31"/>
    </row>
    <row r="27" spans="1:7" ht="12.75" customHeight="1">
      <c r="A27" s="42"/>
      <c r="B27" s="7"/>
      <c r="C27" s="7"/>
      <c r="D27" s="37"/>
      <c r="E27" s="7"/>
      <c r="F27" s="37"/>
      <c r="G27" s="7"/>
    </row>
    <row r="28" spans="1:7" ht="12.75" customHeight="1">
      <c r="A28" s="63">
        <f>A11</f>
        <v>3</v>
      </c>
      <c r="B28" s="6"/>
      <c r="C28" s="6"/>
      <c r="D28" s="6"/>
      <c r="E28" s="6"/>
      <c r="F28" s="6"/>
      <c r="G28" s="6"/>
    </row>
    <row r="29" spans="1:7" ht="12.75" customHeight="1">
      <c r="A29" s="42"/>
      <c r="B29" s="66"/>
      <c r="C29" s="7"/>
      <c r="D29" s="7"/>
      <c r="E29" s="7"/>
      <c r="F29" s="7"/>
      <c r="G29" s="7"/>
    </row>
    <row r="30" spans="1:7" ht="12.75" customHeight="1">
      <c r="A30" s="30"/>
      <c r="B30" s="6"/>
      <c r="C30" s="31"/>
      <c r="D30" s="43"/>
      <c r="E30" s="31"/>
      <c r="F30" s="31"/>
      <c r="G30" s="31"/>
    </row>
    <row r="31" spans="1:7" ht="12.75" customHeight="1">
      <c r="A31" s="42"/>
      <c r="B31" s="7"/>
      <c r="C31" s="7"/>
      <c r="D31" s="37"/>
      <c r="E31" s="7"/>
      <c r="F31" s="7"/>
      <c r="G31" s="7"/>
    </row>
    <row r="32" spans="1:7" ht="12.75" customHeight="1">
      <c r="A32" s="30"/>
      <c r="B32" s="6"/>
      <c r="C32" s="6"/>
      <c r="D32" s="43"/>
      <c r="E32" s="31"/>
      <c r="F32" s="31"/>
      <c r="G32" s="31"/>
    </row>
    <row r="33" spans="1:7" ht="12.75" customHeight="1">
      <c r="A33" s="42"/>
      <c r="B33" s="7"/>
      <c r="C33" s="74" t="s">
        <v>226</v>
      </c>
      <c r="D33" s="37"/>
      <c r="E33" s="7"/>
      <c r="F33" s="7"/>
      <c r="G33" s="7"/>
    </row>
    <row r="34" spans="1:7" ht="12.75" customHeight="1">
      <c r="A34" s="30"/>
      <c r="B34" s="6"/>
      <c r="C34" s="6"/>
      <c r="D34" s="6"/>
      <c r="E34" s="6"/>
      <c r="F34" s="6"/>
      <c r="G34" s="6"/>
    </row>
  </sheetData>
  <printOptions horizontalCentered="1" gridLines="1"/>
  <pageMargins left="0.70866141732283472" right="0.70866141732283472" top="0.74803149606299213" bottom="0.74803149606299213" header="0" footer="0"/>
  <pageSetup paperSize="9" scale="96" fitToHeight="0" pageOrder="overThenDown" orientation="landscape" cellComments="atEnd" r:id="rId1"/>
  <headerFooter>
    <oddHeader>&amp;LPlanning Document|&amp;C&amp;A</oddHeader>
    <oddFooter>&amp;LPage &amp;P of &amp;N</oddFoot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D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5.140625" customWidth="1"/>
    <col min="2" max="4" width="40.140625" customWidth="1"/>
  </cols>
  <sheetData>
    <row r="1" spans="1:4" ht="12.75" customHeight="1">
      <c r="A1" s="32" t="s">
        <v>13</v>
      </c>
      <c r="B1" s="28" t="s">
        <v>167</v>
      </c>
      <c r="C1" s="28" t="s">
        <v>168</v>
      </c>
      <c r="D1" s="28" t="s">
        <v>169</v>
      </c>
    </row>
    <row r="2" spans="1:4" ht="12.75" customHeight="1">
      <c r="A2" s="4"/>
      <c r="B2" s="4"/>
      <c r="C2" s="4"/>
      <c r="D2" s="4"/>
    </row>
    <row r="3" spans="1:4" ht="12.75" customHeight="1">
      <c r="A3" s="4"/>
      <c r="B3" s="4"/>
      <c r="C3" s="4"/>
      <c r="D3" s="4"/>
    </row>
    <row r="4" spans="1:4" ht="12.75" customHeight="1">
      <c r="A4" s="4"/>
      <c r="B4" s="4"/>
      <c r="C4" s="4"/>
      <c r="D4" s="4"/>
    </row>
    <row r="5" spans="1:4" ht="12.75" customHeight="1">
      <c r="A5" s="4"/>
      <c r="B5" s="4"/>
      <c r="C5" s="4"/>
      <c r="D5" s="4"/>
    </row>
    <row r="6" spans="1:4" ht="12.75" customHeight="1">
      <c r="A6" s="4"/>
      <c r="B6" s="4"/>
      <c r="C6" s="4"/>
      <c r="D6" s="4"/>
    </row>
    <row r="7" spans="1:4" ht="12.75" customHeight="1">
      <c r="A7" s="4"/>
      <c r="B7" s="4"/>
      <c r="C7" s="4"/>
      <c r="D7" s="4"/>
    </row>
    <row r="8" spans="1:4" ht="12.75" customHeight="1">
      <c r="A8" s="4"/>
      <c r="B8" s="4"/>
      <c r="C8" s="4"/>
      <c r="D8" s="4"/>
    </row>
    <row r="9" spans="1:4" ht="12.75" customHeight="1">
      <c r="A9" s="4"/>
      <c r="B9" s="4"/>
      <c r="C9" s="4"/>
      <c r="D9" s="4"/>
    </row>
    <row r="10" spans="1:4" ht="12.75" customHeight="1">
      <c r="A10" s="4"/>
      <c r="B10" s="4"/>
      <c r="C10" s="4"/>
      <c r="D10" s="4"/>
    </row>
    <row r="11" spans="1:4" ht="12.75" customHeight="1">
      <c r="A11" s="4"/>
      <c r="B11" s="4"/>
      <c r="C11" s="4"/>
      <c r="D11" s="4"/>
    </row>
    <row r="12" spans="1:4" ht="12.75" customHeight="1">
      <c r="A12" s="4"/>
      <c r="B12" s="4"/>
      <c r="C12" s="4"/>
      <c r="D12" s="4"/>
    </row>
    <row r="13" spans="1:4" ht="12.75" customHeight="1">
      <c r="A13" s="4"/>
      <c r="B13" s="4"/>
      <c r="C13" s="4"/>
      <c r="D13" s="4"/>
    </row>
    <row r="14" spans="1:4" ht="12.75" customHeight="1">
      <c r="A14" s="4"/>
      <c r="B14" s="4"/>
      <c r="C14" s="4"/>
      <c r="D14" s="4"/>
    </row>
    <row r="15" spans="1:4" ht="12.75" customHeight="1">
      <c r="A15" s="4"/>
      <c r="B15" s="4"/>
      <c r="C15" s="4"/>
      <c r="D15" s="4"/>
    </row>
    <row r="16" spans="1:4" ht="12.75" customHeight="1">
      <c r="A16" s="4"/>
      <c r="B16" s="4"/>
      <c r="C16" s="4"/>
      <c r="D16" s="4"/>
    </row>
    <row r="17" spans="1:4" ht="12.75" customHeight="1">
      <c r="A17" s="4"/>
      <c r="B17" s="4"/>
      <c r="C17" s="4"/>
      <c r="D17" s="4"/>
    </row>
    <row r="18" spans="1:4" ht="12.75" customHeight="1">
      <c r="A18" s="4"/>
      <c r="B18" s="4"/>
      <c r="C18" s="4"/>
      <c r="D18" s="4"/>
    </row>
    <row r="19" spans="1:4" ht="12.75" customHeight="1">
      <c r="A19" s="4"/>
      <c r="B19" s="4"/>
      <c r="C19" s="4"/>
      <c r="D19" s="4"/>
    </row>
    <row r="20" spans="1:4" ht="12.75" customHeight="1">
      <c r="A20" s="4"/>
      <c r="B20" s="4"/>
      <c r="C20" s="4"/>
      <c r="D20" s="4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Document|&amp;C&amp;A</oddHeader>
    <oddFooter>&amp;LPage &amp;P of &amp;N</oddFoot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25.140625" customWidth="1"/>
    <col min="2" max="2" width="100.140625" customWidth="1"/>
  </cols>
  <sheetData>
    <row r="1" spans="1:2" ht="12.75" customHeight="1">
      <c r="A1" s="1" t="s">
        <v>172</v>
      </c>
      <c r="B1" s="1" t="s">
        <v>173</v>
      </c>
    </row>
    <row r="2" spans="1:2" ht="12.75" customHeight="1">
      <c r="A2" s="4"/>
      <c r="B2" s="4"/>
    </row>
    <row r="3" spans="1:2" ht="12.75" customHeight="1">
      <c r="A3" s="4"/>
      <c r="B3" s="4"/>
    </row>
    <row r="4" spans="1:2" ht="12.75" customHeight="1">
      <c r="A4" s="4"/>
      <c r="B4" s="4"/>
    </row>
    <row r="5" spans="1:2" ht="12.75" customHeight="1">
      <c r="A5" s="4"/>
      <c r="B5" s="4"/>
    </row>
    <row r="6" spans="1:2" ht="12.75" customHeight="1">
      <c r="A6" s="4"/>
      <c r="B6" s="4"/>
    </row>
    <row r="7" spans="1:2" ht="12.75" customHeight="1">
      <c r="A7" s="4"/>
      <c r="B7" s="4"/>
    </row>
    <row r="8" spans="1:2" ht="12.75" customHeight="1">
      <c r="A8" s="4"/>
      <c r="B8" s="4"/>
    </row>
    <row r="9" spans="1:2" ht="12.75" customHeight="1">
      <c r="A9" s="4"/>
      <c r="B9" s="4"/>
    </row>
    <row r="10" spans="1:2" ht="12.75" customHeight="1">
      <c r="A10" s="4"/>
      <c r="B10" s="4"/>
    </row>
    <row r="11" spans="1:2" ht="12.75" customHeight="1">
      <c r="A11" s="4"/>
      <c r="B11" s="4"/>
    </row>
    <row r="12" spans="1:2" ht="12.75" customHeight="1">
      <c r="A12" s="4"/>
      <c r="B12" s="4"/>
    </row>
    <row r="13" spans="1:2" ht="12.75" customHeight="1">
      <c r="A13" s="4"/>
      <c r="B13" s="4"/>
    </row>
    <row r="14" spans="1:2" ht="12.75" customHeight="1">
      <c r="A14" s="4"/>
      <c r="B14" s="4"/>
    </row>
    <row r="15" spans="1:2" ht="12.75" customHeight="1">
      <c r="A15" s="4"/>
      <c r="B15" s="4"/>
    </row>
    <row r="16" spans="1:2" ht="12.75" customHeight="1">
      <c r="A16" s="4"/>
      <c r="B16" s="4"/>
    </row>
    <row r="17" spans="1:2" ht="12.75" customHeight="1">
      <c r="A17" s="4"/>
      <c r="B17" s="4"/>
    </row>
    <row r="18" spans="1:2" ht="12.75" customHeight="1">
      <c r="A18" s="4"/>
      <c r="B18" s="4"/>
    </row>
    <row r="19" spans="1:2" ht="12.75" customHeight="1">
      <c r="A19" s="4"/>
      <c r="B19" s="4"/>
    </row>
    <row r="20" spans="1:2" ht="12.75" customHeight="1">
      <c r="A20" s="4"/>
      <c r="B20" s="4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Document|&amp;C&amp;A</oddHeader>
    <oddFooter>&amp;LPage &amp;P of &amp;N</oddFooter>
  </headerFooter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L103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6.42578125" customWidth="1"/>
    <col min="2" max="2" width="25.140625" customWidth="1"/>
    <col min="3" max="3" width="16.7109375" customWidth="1"/>
    <col min="4" max="4" width="25.140625" customWidth="1"/>
    <col min="5" max="5" width="37.5703125" customWidth="1"/>
    <col min="6" max="6" width="12.5703125" customWidth="1"/>
    <col min="7" max="7" width="81.28515625" customWidth="1"/>
    <col min="8" max="12" width="37.5703125" hidden="1" customWidth="1"/>
  </cols>
  <sheetData>
    <row r="1" spans="1:12" ht="25.5">
      <c r="A1" s="3" t="s">
        <v>13</v>
      </c>
      <c r="C1" s="1" t="s">
        <v>176</v>
      </c>
      <c r="D1" s="1" t="s">
        <v>177</v>
      </c>
      <c r="E1" s="1" t="s">
        <v>178</v>
      </c>
      <c r="F1" s="44" t="s">
        <v>179</v>
      </c>
      <c r="G1" s="1" t="s">
        <v>22</v>
      </c>
      <c r="H1" s="1"/>
      <c r="I1" s="1"/>
      <c r="J1" s="1"/>
      <c r="K1" s="1"/>
      <c r="L1" s="1"/>
    </row>
    <row r="2" spans="1:12" ht="43.5" customHeight="1">
      <c r="A2" s="47">
        <v>1</v>
      </c>
      <c r="B2" s="51" t="s">
        <v>181</v>
      </c>
      <c r="C2" s="47" t="s">
        <v>183</v>
      </c>
      <c r="D2" s="47" t="s">
        <v>181</v>
      </c>
      <c r="E2" s="47">
        <v>3.12</v>
      </c>
      <c r="F2" s="56" t="s">
        <v>184</v>
      </c>
      <c r="G2" s="47" t="s">
        <v>185</v>
      </c>
      <c r="H2" s="60"/>
      <c r="I2" s="60"/>
      <c r="J2" s="60"/>
      <c r="K2" s="60"/>
      <c r="L2" s="60"/>
    </row>
    <row r="3" spans="1:12" ht="42.75">
      <c r="A3" s="51">
        <v>2</v>
      </c>
      <c r="B3" s="61" t="s">
        <v>186</v>
      </c>
      <c r="C3" s="61" t="s">
        <v>187</v>
      </c>
      <c r="D3" s="61" t="s">
        <v>186</v>
      </c>
      <c r="E3" s="61" t="s">
        <v>188</v>
      </c>
      <c r="F3" s="62" t="s">
        <v>189</v>
      </c>
      <c r="G3" s="61" t="s">
        <v>190</v>
      </c>
      <c r="H3" s="47"/>
      <c r="I3" s="47"/>
      <c r="J3" s="47"/>
      <c r="K3" s="47"/>
      <c r="L3" s="47"/>
    </row>
    <row r="4" spans="1:12" ht="28.5">
      <c r="A4" s="51">
        <v>3</v>
      </c>
      <c r="B4" s="61" t="s">
        <v>191</v>
      </c>
      <c r="C4" s="61" t="s">
        <v>192</v>
      </c>
      <c r="D4" s="61" t="s">
        <v>191</v>
      </c>
      <c r="E4" s="61" t="s">
        <v>193</v>
      </c>
      <c r="F4" s="62" t="s">
        <v>194</v>
      </c>
      <c r="G4" s="61" t="s">
        <v>195</v>
      </c>
      <c r="H4" s="61"/>
      <c r="I4" s="61"/>
      <c r="J4" s="61"/>
      <c r="K4" s="61"/>
      <c r="L4" s="61"/>
    </row>
    <row r="5" spans="1:12" ht="28.5">
      <c r="A5" s="51">
        <v>4</v>
      </c>
      <c r="B5" s="61" t="s">
        <v>196</v>
      </c>
      <c r="C5" s="61" t="s">
        <v>192</v>
      </c>
      <c r="D5" s="61" t="s">
        <v>196</v>
      </c>
      <c r="E5" s="61" t="s">
        <v>197</v>
      </c>
      <c r="F5" s="62" t="s">
        <v>194</v>
      </c>
      <c r="G5" s="61" t="s">
        <v>198</v>
      </c>
      <c r="H5" s="61"/>
      <c r="I5" s="61"/>
      <c r="J5" s="61"/>
      <c r="K5" s="61"/>
      <c r="L5" s="61"/>
    </row>
    <row r="6" spans="1:12" ht="42.75">
      <c r="A6" s="51">
        <v>5</v>
      </c>
      <c r="B6" s="61" t="s">
        <v>199</v>
      </c>
      <c r="C6" s="61" t="s">
        <v>192</v>
      </c>
      <c r="D6" s="61" t="s">
        <v>199</v>
      </c>
      <c r="E6" s="61" t="s">
        <v>200</v>
      </c>
      <c r="F6" s="62" t="s">
        <v>201</v>
      </c>
      <c r="G6" s="61" t="s">
        <v>202</v>
      </c>
      <c r="H6" s="61"/>
      <c r="I6" s="61"/>
      <c r="J6" s="61"/>
      <c r="K6" s="61"/>
      <c r="L6" s="61"/>
    </row>
    <row r="7" spans="1:12" ht="28.5">
      <c r="A7" s="51">
        <v>6</v>
      </c>
      <c r="B7" s="61" t="s">
        <v>203</v>
      </c>
      <c r="C7" s="61" t="s">
        <v>192</v>
      </c>
      <c r="D7" s="61" t="s">
        <v>203</v>
      </c>
      <c r="E7" s="61" t="s">
        <v>188</v>
      </c>
      <c r="F7" s="62" t="s">
        <v>194</v>
      </c>
      <c r="G7" s="61" t="s">
        <v>204</v>
      </c>
      <c r="H7" s="61"/>
      <c r="I7" s="61"/>
      <c r="J7" s="61"/>
      <c r="K7" s="61"/>
      <c r="L7" s="61"/>
    </row>
    <row r="8" spans="1:12" ht="28.5">
      <c r="A8" s="51">
        <v>7</v>
      </c>
      <c r="B8" s="61" t="s">
        <v>205</v>
      </c>
      <c r="C8" s="61" t="s">
        <v>192</v>
      </c>
      <c r="D8" s="61" t="s">
        <v>205</v>
      </c>
      <c r="E8" s="61" t="s">
        <v>188</v>
      </c>
      <c r="F8" s="62" t="s">
        <v>194</v>
      </c>
      <c r="G8" s="61" t="s">
        <v>206</v>
      </c>
      <c r="H8" s="61"/>
      <c r="I8" s="61"/>
      <c r="J8" s="61"/>
      <c r="K8" s="61"/>
      <c r="L8" s="61"/>
    </row>
    <row r="9" spans="1:12" ht="14.25">
      <c r="A9" s="51">
        <v>8</v>
      </c>
      <c r="B9" s="61" t="s">
        <v>207</v>
      </c>
      <c r="C9" s="61" t="s">
        <v>192</v>
      </c>
      <c r="D9" s="61" t="s">
        <v>207</v>
      </c>
      <c r="E9" s="61" t="s">
        <v>188</v>
      </c>
      <c r="F9" s="62" t="s">
        <v>194</v>
      </c>
      <c r="G9" s="61" t="s">
        <v>208</v>
      </c>
      <c r="H9" s="61"/>
      <c r="I9" s="61"/>
      <c r="J9" s="61"/>
      <c r="K9" s="61"/>
      <c r="L9" s="61"/>
    </row>
    <row r="10" spans="1:12" ht="14.25">
      <c r="A10" s="51">
        <v>9</v>
      </c>
      <c r="B10" s="61" t="s">
        <v>209</v>
      </c>
      <c r="C10" s="61" t="s">
        <v>192</v>
      </c>
      <c r="D10" s="61" t="s">
        <v>209</v>
      </c>
      <c r="E10" s="61" t="s">
        <v>188</v>
      </c>
      <c r="F10" s="62" t="s">
        <v>194</v>
      </c>
      <c r="G10" s="61" t="s">
        <v>210</v>
      </c>
      <c r="H10" s="61"/>
      <c r="I10" s="61"/>
      <c r="J10" s="61"/>
      <c r="K10" s="61"/>
      <c r="L10" s="61"/>
    </row>
    <row r="11" spans="1:12" ht="28.5">
      <c r="A11" s="51">
        <v>10</v>
      </c>
      <c r="B11" s="61" t="s">
        <v>211</v>
      </c>
      <c r="C11" s="61" t="s">
        <v>192</v>
      </c>
      <c r="D11" s="61" t="s">
        <v>211</v>
      </c>
      <c r="E11" s="61" t="s">
        <v>188</v>
      </c>
      <c r="F11" s="62" t="s">
        <v>194</v>
      </c>
      <c r="G11" s="61" t="s">
        <v>212</v>
      </c>
      <c r="H11" s="61"/>
      <c r="I11" s="61"/>
      <c r="J11" s="61"/>
      <c r="K11" s="61"/>
      <c r="L11" s="61"/>
    </row>
    <row r="12" spans="1:12" ht="63.75">
      <c r="A12" s="51">
        <v>11</v>
      </c>
      <c r="B12" s="61" t="s">
        <v>213</v>
      </c>
      <c r="C12" s="61" t="s">
        <v>192</v>
      </c>
      <c r="D12" s="61" t="s">
        <v>213</v>
      </c>
      <c r="E12" s="61" t="s">
        <v>214</v>
      </c>
      <c r="F12" s="62" t="s">
        <v>215</v>
      </c>
      <c r="G12" s="61" t="s">
        <v>216</v>
      </c>
      <c r="H12" s="61"/>
      <c r="I12" s="61"/>
      <c r="J12" s="61"/>
      <c r="K12" s="61"/>
      <c r="L12" s="61"/>
    </row>
    <row r="13" spans="1:12" ht="14.25">
      <c r="A13" s="51">
        <v>12</v>
      </c>
      <c r="B13" s="61" t="s">
        <v>217</v>
      </c>
      <c r="C13" s="61" t="s">
        <v>192</v>
      </c>
      <c r="D13" s="61" t="s">
        <v>217</v>
      </c>
      <c r="E13" s="61" t="s">
        <v>188</v>
      </c>
      <c r="F13" s="62" t="s">
        <v>201</v>
      </c>
      <c r="G13" s="61" t="s">
        <v>218</v>
      </c>
      <c r="H13" s="61"/>
      <c r="I13" s="61"/>
      <c r="J13" s="61"/>
      <c r="K13" s="61"/>
      <c r="L13" s="61"/>
    </row>
    <row r="14" spans="1:12" ht="28.5">
      <c r="A14" s="51">
        <v>13</v>
      </c>
      <c r="B14" s="61" t="s">
        <v>219</v>
      </c>
      <c r="C14" s="61" t="s">
        <v>192</v>
      </c>
      <c r="D14" s="61" t="s">
        <v>219</v>
      </c>
      <c r="E14" s="61" t="s">
        <v>188</v>
      </c>
      <c r="F14" s="62" t="s">
        <v>201</v>
      </c>
      <c r="G14" s="61" t="s">
        <v>220</v>
      </c>
      <c r="H14" s="61"/>
      <c r="I14" s="61"/>
      <c r="J14" s="61"/>
      <c r="K14" s="61"/>
      <c r="L14" s="61"/>
    </row>
    <row r="15" spans="1:12" ht="57">
      <c r="A15" s="51">
        <v>14</v>
      </c>
      <c r="B15" s="61" t="s">
        <v>221</v>
      </c>
      <c r="C15" s="61" t="s">
        <v>183</v>
      </c>
      <c r="D15" s="61" t="s">
        <v>221</v>
      </c>
      <c r="E15" s="61" t="s">
        <v>222</v>
      </c>
      <c r="F15" s="62" t="s">
        <v>194</v>
      </c>
      <c r="G15" s="61" t="s">
        <v>224</v>
      </c>
      <c r="H15" s="61"/>
      <c r="I15" s="61"/>
      <c r="J15" s="61"/>
      <c r="K15" s="61"/>
      <c r="L15" s="61"/>
    </row>
    <row r="16" spans="1:12" ht="28.5">
      <c r="A16" s="51">
        <v>15</v>
      </c>
      <c r="B16" s="61" t="s">
        <v>225</v>
      </c>
      <c r="C16" s="61" t="s">
        <v>183</v>
      </c>
      <c r="D16" s="61" t="s">
        <v>225</v>
      </c>
      <c r="E16" s="61" t="s">
        <v>227</v>
      </c>
      <c r="F16" s="62" t="s">
        <v>194</v>
      </c>
      <c r="G16" s="61" t="s">
        <v>228</v>
      </c>
      <c r="H16" s="61"/>
      <c r="I16" s="61"/>
      <c r="J16" s="61"/>
      <c r="K16" s="61"/>
      <c r="L16" s="61"/>
    </row>
    <row r="17" spans="1:12" ht="28.5">
      <c r="A17" s="51">
        <v>16</v>
      </c>
      <c r="B17" s="61" t="s">
        <v>229</v>
      </c>
      <c r="C17" s="61" t="s">
        <v>183</v>
      </c>
      <c r="D17" s="61" t="s">
        <v>229</v>
      </c>
      <c r="E17" s="61" t="s">
        <v>230</v>
      </c>
      <c r="F17" s="62" t="s">
        <v>201</v>
      </c>
      <c r="G17" s="61" t="s">
        <v>231</v>
      </c>
      <c r="H17" s="61"/>
      <c r="I17" s="61"/>
      <c r="J17" s="61"/>
      <c r="K17" s="61"/>
      <c r="L17" s="61"/>
    </row>
    <row r="18" spans="1:12" ht="28.5">
      <c r="A18" s="51">
        <v>17</v>
      </c>
      <c r="B18" s="61" t="s">
        <v>232</v>
      </c>
      <c r="C18" s="61" t="s">
        <v>192</v>
      </c>
      <c r="D18" s="61" t="s">
        <v>232</v>
      </c>
      <c r="E18" s="61" t="s">
        <v>188</v>
      </c>
      <c r="F18" s="62" t="s">
        <v>194</v>
      </c>
      <c r="G18" s="61" t="s">
        <v>234</v>
      </c>
      <c r="H18" s="61"/>
      <c r="I18" s="61"/>
      <c r="J18" s="61"/>
      <c r="K18" s="61"/>
      <c r="L18" s="61"/>
    </row>
    <row r="19" spans="1:12" ht="28.5">
      <c r="A19" s="51">
        <v>18</v>
      </c>
      <c r="B19" s="61" t="s">
        <v>235</v>
      </c>
      <c r="C19" s="61" t="s">
        <v>183</v>
      </c>
      <c r="D19" s="61" t="s">
        <v>235</v>
      </c>
      <c r="E19" s="61" t="s">
        <v>236</v>
      </c>
      <c r="F19" s="62" t="s">
        <v>235</v>
      </c>
      <c r="G19" s="61" t="s">
        <v>237</v>
      </c>
      <c r="H19" s="61"/>
      <c r="I19" s="61"/>
      <c r="J19" s="61"/>
      <c r="K19" s="61"/>
      <c r="L19" s="61"/>
    </row>
    <row r="20" spans="1:12" ht="28.5">
      <c r="A20" s="51">
        <v>19</v>
      </c>
      <c r="B20" s="61" t="s">
        <v>238</v>
      </c>
      <c r="C20" s="61" t="s">
        <v>183</v>
      </c>
      <c r="D20" s="61" t="s">
        <v>238</v>
      </c>
      <c r="E20" s="61" t="s">
        <v>240</v>
      </c>
      <c r="F20" s="62" t="s">
        <v>241</v>
      </c>
      <c r="G20" s="61" t="s">
        <v>242</v>
      </c>
      <c r="H20" s="61"/>
      <c r="I20" s="61"/>
      <c r="J20" s="61"/>
      <c r="K20" s="61"/>
      <c r="L20" s="61"/>
    </row>
    <row r="21" spans="1:12" ht="28.5">
      <c r="A21" s="51">
        <v>20</v>
      </c>
      <c r="B21" s="61" t="s">
        <v>243</v>
      </c>
      <c r="C21" s="61" t="s">
        <v>187</v>
      </c>
      <c r="D21" s="61" t="s">
        <v>243</v>
      </c>
      <c r="E21" s="61" t="s">
        <v>188</v>
      </c>
      <c r="F21" s="62" t="s">
        <v>241</v>
      </c>
      <c r="G21" s="61" t="s">
        <v>245</v>
      </c>
      <c r="H21" s="61"/>
      <c r="I21" s="61"/>
      <c r="J21" s="61"/>
      <c r="K21" s="61"/>
      <c r="L21" s="61"/>
    </row>
    <row r="22" spans="1:12" ht="28.5">
      <c r="A22" s="51">
        <v>21</v>
      </c>
      <c r="B22" s="61" t="s">
        <v>246</v>
      </c>
      <c r="C22" s="61" t="s">
        <v>247</v>
      </c>
      <c r="D22" s="61" t="s">
        <v>246</v>
      </c>
      <c r="E22" s="61" t="s">
        <v>248</v>
      </c>
      <c r="F22" s="62" t="s">
        <v>201</v>
      </c>
      <c r="G22" s="61" t="s">
        <v>249</v>
      </c>
      <c r="H22" s="61"/>
      <c r="I22" s="61"/>
      <c r="J22" s="61"/>
      <c r="K22" s="61"/>
      <c r="L22" s="61"/>
    </row>
    <row r="23" spans="1:12" ht="42.75">
      <c r="A23" s="51">
        <v>22</v>
      </c>
      <c r="B23" s="61" t="s">
        <v>250</v>
      </c>
      <c r="C23" s="61" t="s">
        <v>247</v>
      </c>
      <c r="D23" s="61" t="s">
        <v>250</v>
      </c>
      <c r="E23" s="61" t="s">
        <v>248</v>
      </c>
      <c r="F23" s="62" t="s">
        <v>201</v>
      </c>
      <c r="G23" s="61" t="s">
        <v>252</v>
      </c>
      <c r="H23" s="61"/>
      <c r="I23" s="61"/>
      <c r="J23" s="61"/>
      <c r="K23" s="61"/>
      <c r="L23" s="61"/>
    </row>
    <row r="24" spans="1:12" ht="14.25">
      <c r="A24" s="51">
        <v>23</v>
      </c>
      <c r="B24" s="61" t="s">
        <v>253</v>
      </c>
      <c r="C24" s="61" t="s">
        <v>192</v>
      </c>
      <c r="D24" s="61" t="s">
        <v>253</v>
      </c>
      <c r="E24" s="61" t="s">
        <v>188</v>
      </c>
      <c r="F24" s="62" t="s">
        <v>194</v>
      </c>
      <c r="G24" s="61" t="s">
        <v>255</v>
      </c>
      <c r="H24" s="61"/>
      <c r="I24" s="61"/>
      <c r="J24" s="61"/>
      <c r="K24" s="61"/>
      <c r="L24" s="61"/>
    </row>
    <row r="25" spans="1:12" ht="28.5">
      <c r="A25" s="51">
        <v>24</v>
      </c>
      <c r="B25" s="61" t="s">
        <v>257</v>
      </c>
      <c r="C25" s="61" t="s">
        <v>187</v>
      </c>
      <c r="D25" s="61" t="s">
        <v>257</v>
      </c>
      <c r="E25" s="61" t="s">
        <v>188</v>
      </c>
      <c r="F25" s="62" t="s">
        <v>201</v>
      </c>
      <c r="G25" s="61" t="s">
        <v>258</v>
      </c>
      <c r="H25" s="61"/>
      <c r="I25" s="61"/>
      <c r="J25" s="61"/>
      <c r="K25" s="61"/>
      <c r="L25" s="61"/>
    </row>
    <row r="26" spans="1:12" ht="14.25">
      <c r="A26" s="51">
        <v>25</v>
      </c>
      <c r="B26" s="61" t="s">
        <v>260</v>
      </c>
      <c r="C26" s="61" t="s">
        <v>187</v>
      </c>
      <c r="D26" s="61" t="s">
        <v>260</v>
      </c>
      <c r="E26" s="61" t="s">
        <v>188</v>
      </c>
      <c r="F26" s="62" t="s">
        <v>201</v>
      </c>
      <c r="G26" s="61" t="s">
        <v>261</v>
      </c>
      <c r="H26" s="61"/>
      <c r="I26" s="61"/>
      <c r="J26" s="61"/>
      <c r="K26" s="61"/>
      <c r="L26" s="61"/>
    </row>
    <row r="27" spans="1:12" ht="14.25">
      <c r="A27" s="51">
        <v>26</v>
      </c>
      <c r="B27" s="61" t="s">
        <v>262</v>
      </c>
      <c r="C27" s="61" t="s">
        <v>187</v>
      </c>
      <c r="D27" s="61" t="s">
        <v>262</v>
      </c>
      <c r="E27" s="61" t="s">
        <v>188</v>
      </c>
      <c r="F27" s="62" t="s">
        <v>194</v>
      </c>
      <c r="G27" s="61" t="s">
        <v>264</v>
      </c>
      <c r="H27" s="61"/>
      <c r="I27" s="61"/>
      <c r="J27" s="61"/>
      <c r="K27" s="61"/>
      <c r="L27" s="61"/>
    </row>
    <row r="28" spans="1:12" ht="28.5">
      <c r="A28" s="51">
        <v>27</v>
      </c>
      <c r="B28" s="61" t="s">
        <v>265</v>
      </c>
      <c r="C28" s="61" t="s">
        <v>183</v>
      </c>
      <c r="D28" s="61" t="s">
        <v>265</v>
      </c>
      <c r="E28" s="61" t="s">
        <v>267</v>
      </c>
      <c r="F28" s="62" t="s">
        <v>268</v>
      </c>
      <c r="G28" s="61" t="s">
        <v>269</v>
      </c>
      <c r="H28" s="61"/>
      <c r="I28" s="61"/>
      <c r="J28" s="61"/>
      <c r="K28" s="61"/>
      <c r="L28" s="61"/>
    </row>
    <row r="29" spans="1:12" ht="14.25">
      <c r="A29" s="51">
        <v>28</v>
      </c>
      <c r="B29" s="61" t="s">
        <v>271</v>
      </c>
      <c r="C29" s="61" t="s">
        <v>183</v>
      </c>
      <c r="D29" s="61" t="s">
        <v>271</v>
      </c>
      <c r="E29" s="61" t="s">
        <v>267</v>
      </c>
      <c r="F29" s="62" t="s">
        <v>194</v>
      </c>
      <c r="G29" s="61" t="s">
        <v>272</v>
      </c>
      <c r="H29" s="61"/>
      <c r="I29" s="61"/>
      <c r="J29" s="61"/>
      <c r="K29" s="61"/>
      <c r="L29" s="61"/>
    </row>
    <row r="30" spans="1:12" ht="14.25" hidden="1">
      <c r="L30" s="61"/>
    </row>
    <row r="31" spans="1:12" ht="14.25" hidden="1">
      <c r="L31" s="61"/>
    </row>
    <row r="32" spans="1:12" ht="14.25" hidden="1">
      <c r="L32" s="61"/>
    </row>
    <row r="33" spans="12:12" ht="14.25" hidden="1">
      <c r="L33" s="61"/>
    </row>
    <row r="34" spans="12:12" ht="14.25" hidden="1">
      <c r="L34" s="61"/>
    </row>
    <row r="35" spans="12:12" ht="14.25" hidden="1">
      <c r="L35" s="61"/>
    </row>
    <row r="36" spans="12:12" ht="14.25" hidden="1">
      <c r="L36" s="61"/>
    </row>
    <row r="37" spans="12:12" ht="14.25" hidden="1">
      <c r="L37" s="61"/>
    </row>
    <row r="38" spans="12:12" ht="14.25" hidden="1">
      <c r="L38" s="61"/>
    </row>
    <row r="39" spans="12:12" ht="14.25" hidden="1">
      <c r="L39" s="61"/>
    </row>
    <row r="40" spans="12:12" ht="14.25" hidden="1">
      <c r="L40" s="61"/>
    </row>
    <row r="41" spans="12:12" ht="14.25" hidden="1">
      <c r="L41" s="61"/>
    </row>
    <row r="42" spans="12:12" ht="14.25" hidden="1">
      <c r="L42" s="61"/>
    </row>
    <row r="43" spans="12:12" ht="14.25" hidden="1">
      <c r="L43" s="61"/>
    </row>
    <row r="44" spans="12:12" ht="14.25" hidden="1">
      <c r="L44" s="61"/>
    </row>
    <row r="45" spans="12:12" ht="14.25" hidden="1">
      <c r="L45" s="61"/>
    </row>
    <row r="46" spans="12:12" ht="14.25" hidden="1">
      <c r="L46" s="61"/>
    </row>
    <row r="47" spans="12:12" ht="14.25" hidden="1">
      <c r="L47" s="61"/>
    </row>
    <row r="48" spans="12:12" ht="14.25" hidden="1">
      <c r="L48" s="61"/>
    </row>
    <row r="49" spans="12:12" ht="14.25" hidden="1">
      <c r="L49" s="61"/>
    </row>
    <row r="50" spans="12:12" ht="14.25" hidden="1">
      <c r="L50" s="61"/>
    </row>
    <row r="51" spans="12:12" ht="14.25" hidden="1">
      <c r="L51" s="61"/>
    </row>
    <row r="52" spans="12:12" ht="14.25" hidden="1">
      <c r="L52" s="61"/>
    </row>
    <row r="53" spans="12:12" ht="14.25" hidden="1">
      <c r="L53" s="61"/>
    </row>
    <row r="54" spans="12:12" ht="14.25" hidden="1">
      <c r="L54" s="61"/>
    </row>
    <row r="55" spans="12:12" ht="14.25" hidden="1">
      <c r="L55" s="61"/>
    </row>
    <row r="56" spans="12:12" ht="14.25" hidden="1">
      <c r="L56" s="61"/>
    </row>
    <row r="57" spans="12:12" ht="14.25" hidden="1">
      <c r="L57" s="61"/>
    </row>
    <row r="58" spans="12:12" ht="14.25" hidden="1">
      <c r="L58" s="61"/>
    </row>
    <row r="59" spans="12:12" ht="14.25" hidden="1">
      <c r="L59" s="61"/>
    </row>
    <row r="60" spans="12:12" ht="14.25" hidden="1">
      <c r="L60" s="61"/>
    </row>
    <row r="61" spans="12:12" ht="14.25" hidden="1">
      <c r="L61" s="61"/>
    </row>
    <row r="62" spans="12:12" ht="14.25" hidden="1">
      <c r="L62" s="61"/>
    </row>
    <row r="63" spans="12:12" ht="14.25" hidden="1">
      <c r="L63" s="61"/>
    </row>
    <row r="64" spans="12:12" ht="14.25" hidden="1">
      <c r="L64" s="61"/>
    </row>
    <row r="65" spans="12:12" ht="14.25" hidden="1">
      <c r="L65" s="61"/>
    </row>
    <row r="66" spans="12:12" ht="14.25" hidden="1">
      <c r="L66" s="61"/>
    </row>
    <row r="67" spans="12:12" ht="14.25" hidden="1">
      <c r="L67" s="61"/>
    </row>
    <row r="68" spans="12:12" ht="14.25" hidden="1">
      <c r="L68" s="61"/>
    </row>
    <row r="69" spans="12:12" ht="14.25" hidden="1">
      <c r="L69" s="61"/>
    </row>
    <row r="70" spans="12:12" ht="14.25" hidden="1">
      <c r="L70" s="61"/>
    </row>
    <row r="71" spans="12:12" ht="14.25" hidden="1">
      <c r="L71" s="61"/>
    </row>
    <row r="72" spans="12:12" ht="14.25" hidden="1">
      <c r="L72" s="61"/>
    </row>
    <row r="73" spans="12:12" ht="14.25" hidden="1">
      <c r="L73" s="61"/>
    </row>
    <row r="74" spans="12:12" ht="14.25" hidden="1">
      <c r="L74" s="61"/>
    </row>
    <row r="75" spans="12:12" ht="14.25" hidden="1">
      <c r="L75" s="61"/>
    </row>
    <row r="76" spans="12:12" ht="14.25" hidden="1">
      <c r="L76" s="61"/>
    </row>
    <row r="77" spans="12:12" ht="14.25" hidden="1">
      <c r="L77" s="61"/>
    </row>
    <row r="78" spans="12:12" ht="14.25" hidden="1">
      <c r="L78" s="61"/>
    </row>
    <row r="79" spans="12:12" ht="14.25" hidden="1">
      <c r="L79" s="61"/>
    </row>
    <row r="80" spans="12:12" ht="14.25" hidden="1">
      <c r="L80" s="61"/>
    </row>
    <row r="81" spans="12:12" ht="14.25" hidden="1">
      <c r="L81" s="61"/>
    </row>
    <row r="82" spans="12:12" ht="14.25" hidden="1">
      <c r="L82" s="61"/>
    </row>
    <row r="83" spans="12:12" ht="14.25" hidden="1">
      <c r="L83" s="61"/>
    </row>
    <row r="84" spans="12:12" ht="14.25" hidden="1">
      <c r="L84" s="61"/>
    </row>
    <row r="85" spans="12:12" ht="14.25" hidden="1">
      <c r="L85" s="61"/>
    </row>
    <row r="86" spans="12:12" ht="14.25" hidden="1">
      <c r="L86" s="61"/>
    </row>
    <row r="87" spans="12:12" ht="14.25" hidden="1">
      <c r="L87" s="61"/>
    </row>
    <row r="88" spans="12:12" ht="14.25" hidden="1">
      <c r="L88" s="61"/>
    </row>
    <row r="89" spans="12:12" ht="14.25" hidden="1">
      <c r="L89" s="61"/>
    </row>
    <row r="90" spans="12:12" ht="14.25" hidden="1">
      <c r="L90" s="61"/>
    </row>
    <row r="91" spans="12:12" ht="14.25" hidden="1">
      <c r="L91" s="61"/>
    </row>
    <row r="92" spans="12:12" ht="14.25" hidden="1">
      <c r="L92" s="61"/>
    </row>
    <row r="93" spans="12:12" ht="14.25" hidden="1">
      <c r="L93" s="61"/>
    </row>
    <row r="94" spans="12:12" ht="14.25" hidden="1">
      <c r="L94" s="61"/>
    </row>
    <row r="95" spans="12:12" ht="14.25" hidden="1">
      <c r="L95" s="61"/>
    </row>
    <row r="96" spans="12:12" ht="14.25" hidden="1">
      <c r="L96" s="61"/>
    </row>
    <row r="97" spans="12:12" ht="14.25" hidden="1">
      <c r="L97" s="61"/>
    </row>
    <row r="98" spans="12:12" ht="14.25" hidden="1">
      <c r="L98" s="61"/>
    </row>
    <row r="99" spans="12:12" ht="14.25" hidden="1">
      <c r="L99" s="61"/>
    </row>
    <row r="100" spans="12:12" ht="14.25" hidden="1">
      <c r="L100" s="61"/>
    </row>
    <row r="101" spans="12:12" ht="14.25" hidden="1">
      <c r="L101" s="61"/>
    </row>
    <row r="102" spans="12:12" ht="14.25" hidden="1">
      <c r="L102" s="61"/>
    </row>
    <row r="103" spans="12:12" ht="14.25" hidden="1">
      <c r="L103" s="61"/>
    </row>
    <row r="104" spans="12:12" ht="14.25" hidden="1">
      <c r="L104" s="61"/>
    </row>
    <row r="105" spans="12:12" ht="14.25" hidden="1">
      <c r="L105" s="61"/>
    </row>
    <row r="106" spans="12:12" ht="14.25" hidden="1">
      <c r="L106" s="61"/>
    </row>
    <row r="107" spans="12:12" ht="14.25" hidden="1">
      <c r="L107" s="61"/>
    </row>
    <row r="108" spans="12:12" ht="14.25" hidden="1">
      <c r="L108" s="61"/>
    </row>
    <row r="109" spans="12:12" ht="14.25" hidden="1">
      <c r="L109" s="61"/>
    </row>
    <row r="110" spans="12:12" ht="14.25" hidden="1">
      <c r="L110" s="61"/>
    </row>
    <row r="111" spans="12:12" ht="14.25" hidden="1">
      <c r="L111" s="61"/>
    </row>
    <row r="112" spans="12:12" ht="14.25" hidden="1">
      <c r="L112" s="61"/>
    </row>
    <row r="113" spans="12:12" ht="14.25" hidden="1">
      <c r="L113" s="61"/>
    </row>
    <row r="114" spans="12:12" ht="14.25" hidden="1">
      <c r="L114" s="61"/>
    </row>
    <row r="115" spans="12:12" ht="14.25" hidden="1">
      <c r="L115" s="61"/>
    </row>
    <row r="116" spans="12:12" ht="14.25" hidden="1">
      <c r="L116" s="61"/>
    </row>
    <row r="117" spans="12:12" ht="14.25" hidden="1">
      <c r="L117" s="61"/>
    </row>
    <row r="118" spans="12:12" ht="14.25" hidden="1">
      <c r="L118" s="61"/>
    </row>
    <row r="119" spans="12:12" ht="14.25" hidden="1">
      <c r="L119" s="61"/>
    </row>
    <row r="120" spans="12:12" ht="14.25" hidden="1">
      <c r="L120" s="61"/>
    </row>
    <row r="121" spans="12:12" ht="14.25" hidden="1">
      <c r="L121" s="61"/>
    </row>
    <row r="122" spans="12:12" ht="14.25" hidden="1">
      <c r="L122" s="61"/>
    </row>
    <row r="123" spans="12:12" ht="14.25" hidden="1">
      <c r="L123" s="61"/>
    </row>
    <row r="124" spans="12:12" ht="14.25" hidden="1">
      <c r="L124" s="61"/>
    </row>
    <row r="125" spans="12:12" ht="14.25" hidden="1">
      <c r="L125" s="61"/>
    </row>
    <row r="126" spans="12:12" ht="14.25" hidden="1">
      <c r="L126" s="61"/>
    </row>
    <row r="127" spans="12:12" ht="14.25" hidden="1">
      <c r="L127" s="61"/>
    </row>
    <row r="128" spans="12:12" ht="14.25" hidden="1">
      <c r="L128" s="61"/>
    </row>
    <row r="129" spans="12:12" ht="14.25" hidden="1">
      <c r="L129" s="61"/>
    </row>
    <row r="130" spans="12:12" ht="14.25" hidden="1">
      <c r="L130" s="61"/>
    </row>
    <row r="131" spans="12:12" ht="14.25" hidden="1">
      <c r="L131" s="61"/>
    </row>
    <row r="132" spans="12:12" ht="14.25" hidden="1">
      <c r="L132" s="61"/>
    </row>
    <row r="133" spans="12:12" ht="14.25" hidden="1">
      <c r="L133" s="61"/>
    </row>
    <row r="134" spans="12:12" ht="14.25" hidden="1">
      <c r="L134" s="61"/>
    </row>
    <row r="135" spans="12:12" ht="14.25" hidden="1">
      <c r="L135" s="61"/>
    </row>
    <row r="136" spans="12:12" ht="14.25" hidden="1">
      <c r="L136" s="61"/>
    </row>
    <row r="137" spans="12:12" ht="14.25" hidden="1">
      <c r="L137" s="61"/>
    </row>
    <row r="138" spans="12:12" ht="14.25" hidden="1">
      <c r="L138" s="61"/>
    </row>
    <row r="139" spans="12:12" ht="14.25" hidden="1">
      <c r="L139" s="61"/>
    </row>
    <row r="140" spans="12:12" ht="14.25" hidden="1">
      <c r="L140" s="61"/>
    </row>
    <row r="141" spans="12:12" ht="14.25" hidden="1">
      <c r="L141" s="61"/>
    </row>
    <row r="142" spans="12:12" ht="14.25" hidden="1">
      <c r="L142" s="61"/>
    </row>
    <row r="143" spans="12:12" ht="14.25" hidden="1">
      <c r="L143" s="61"/>
    </row>
    <row r="144" spans="12:12" ht="14.25" hidden="1">
      <c r="L144" s="61"/>
    </row>
    <row r="145" spans="12:12" ht="14.25" hidden="1">
      <c r="L145" s="61"/>
    </row>
    <row r="146" spans="12:12" ht="14.25" hidden="1">
      <c r="L146" s="61"/>
    </row>
    <row r="147" spans="12:12" ht="14.25" hidden="1">
      <c r="L147" s="61"/>
    </row>
    <row r="148" spans="12:12" ht="14.25" hidden="1">
      <c r="L148" s="61"/>
    </row>
    <row r="149" spans="12:12" ht="14.25" hidden="1">
      <c r="L149" s="61"/>
    </row>
    <row r="150" spans="12:12" ht="14.25" hidden="1">
      <c r="L150" s="61"/>
    </row>
    <row r="151" spans="12:12" ht="14.25" hidden="1">
      <c r="L151" s="61"/>
    </row>
    <row r="152" spans="12:12" ht="14.25" hidden="1">
      <c r="L152" s="61"/>
    </row>
    <row r="153" spans="12:12" ht="14.25" hidden="1">
      <c r="L153" s="61"/>
    </row>
    <row r="154" spans="12:12" ht="14.25" hidden="1">
      <c r="L154" s="61"/>
    </row>
    <row r="155" spans="12:12" ht="14.25" hidden="1">
      <c r="L155" s="61"/>
    </row>
    <row r="156" spans="12:12" ht="14.25" hidden="1">
      <c r="L156" s="61"/>
    </row>
    <row r="157" spans="12:12" ht="14.25" hidden="1">
      <c r="L157" s="61"/>
    </row>
    <row r="158" spans="12:12" ht="14.25" hidden="1">
      <c r="L158" s="61"/>
    </row>
    <row r="159" spans="12:12" ht="14.25" hidden="1">
      <c r="L159" s="61"/>
    </row>
    <row r="160" spans="12:12" ht="14.25" hidden="1">
      <c r="L160" s="61"/>
    </row>
    <row r="161" spans="12:12" ht="14.25" hidden="1">
      <c r="L161" s="61"/>
    </row>
    <row r="162" spans="12:12" ht="14.25" hidden="1">
      <c r="L162" s="61"/>
    </row>
    <row r="163" spans="12:12" ht="14.25" hidden="1">
      <c r="L163" s="61"/>
    </row>
    <row r="164" spans="12:12" ht="14.25" hidden="1">
      <c r="L164" s="61"/>
    </row>
    <row r="165" spans="12:12" ht="14.25" hidden="1">
      <c r="L165" s="61"/>
    </row>
    <row r="166" spans="12:12" ht="14.25" hidden="1">
      <c r="L166" s="61"/>
    </row>
    <row r="167" spans="12:12" ht="14.25" hidden="1">
      <c r="L167" s="61"/>
    </row>
    <row r="168" spans="12:12" ht="14.25" hidden="1">
      <c r="L168" s="61"/>
    </row>
    <row r="169" spans="12:12" ht="14.25" hidden="1">
      <c r="L169" s="61"/>
    </row>
    <row r="170" spans="12:12" ht="14.25" hidden="1">
      <c r="L170" s="61"/>
    </row>
    <row r="171" spans="12:12" ht="14.25" hidden="1">
      <c r="L171" s="61"/>
    </row>
    <row r="172" spans="12:12" ht="14.25" hidden="1">
      <c r="L172" s="61"/>
    </row>
    <row r="173" spans="12:12" ht="14.25" hidden="1">
      <c r="L173" s="61"/>
    </row>
    <row r="174" spans="12:12" ht="14.25" hidden="1">
      <c r="L174" s="61"/>
    </row>
    <row r="175" spans="12:12" ht="14.25" hidden="1">
      <c r="L175" s="61"/>
    </row>
    <row r="176" spans="12:12" ht="14.25" hidden="1">
      <c r="L176" s="61"/>
    </row>
    <row r="177" spans="12:12" ht="14.25" hidden="1">
      <c r="L177" s="61"/>
    </row>
    <row r="178" spans="12:12" ht="14.25" hidden="1">
      <c r="L178" s="61"/>
    </row>
    <row r="179" spans="12:12" ht="14.25" hidden="1">
      <c r="L179" s="61"/>
    </row>
    <row r="180" spans="12:12" ht="14.25" hidden="1">
      <c r="L180" s="61"/>
    </row>
    <row r="181" spans="12:12" ht="14.25" hidden="1">
      <c r="L181" s="61"/>
    </row>
    <row r="182" spans="12:12" ht="14.25" hidden="1">
      <c r="L182" s="61"/>
    </row>
    <row r="183" spans="12:12" ht="14.25" hidden="1">
      <c r="L183" s="61"/>
    </row>
    <row r="184" spans="12:12" ht="14.25" hidden="1">
      <c r="L184" s="61"/>
    </row>
    <row r="185" spans="12:12" ht="14.25" hidden="1">
      <c r="L185" s="61"/>
    </row>
    <row r="186" spans="12:12" ht="14.25" hidden="1">
      <c r="L186" s="61"/>
    </row>
    <row r="187" spans="12:12" ht="14.25" hidden="1">
      <c r="L187" s="61"/>
    </row>
    <row r="188" spans="12:12" ht="14.25" hidden="1">
      <c r="L188" s="61"/>
    </row>
    <row r="189" spans="12:12" ht="14.25" hidden="1">
      <c r="L189" s="61"/>
    </row>
    <row r="190" spans="12:12" ht="14.25" hidden="1">
      <c r="L190" s="61"/>
    </row>
    <row r="191" spans="12:12" ht="14.25" hidden="1">
      <c r="L191" s="61"/>
    </row>
    <row r="192" spans="12:12" ht="14.25" hidden="1">
      <c r="L192" s="61"/>
    </row>
    <row r="193" spans="12:12" ht="14.25" hidden="1">
      <c r="L193" s="61"/>
    </row>
    <row r="194" spans="12:12" ht="14.25" hidden="1">
      <c r="L194" s="61"/>
    </row>
    <row r="195" spans="12:12" ht="14.25" hidden="1">
      <c r="L195" s="61"/>
    </row>
    <row r="196" spans="12:12" ht="14.25" hidden="1">
      <c r="L196" s="61"/>
    </row>
    <row r="197" spans="12:12" ht="14.25" hidden="1">
      <c r="L197" s="61"/>
    </row>
    <row r="198" spans="12:12" ht="14.25" hidden="1">
      <c r="L198" s="61"/>
    </row>
    <row r="199" spans="12:12" ht="14.25" hidden="1">
      <c r="L199" s="61"/>
    </row>
    <row r="200" spans="12:12" ht="14.25" hidden="1">
      <c r="L200" s="61"/>
    </row>
    <row r="201" spans="12:12" ht="14.25" hidden="1">
      <c r="L201" s="61"/>
    </row>
    <row r="202" spans="12:12" ht="14.25" hidden="1">
      <c r="L202" s="61"/>
    </row>
    <row r="203" spans="12:12" ht="14.25" hidden="1">
      <c r="L203" s="61"/>
    </row>
    <row r="204" spans="12:12" ht="14.25" hidden="1">
      <c r="L204" s="61"/>
    </row>
    <row r="205" spans="12:12" ht="14.25" hidden="1">
      <c r="L205" s="61"/>
    </row>
    <row r="206" spans="12:12" ht="14.25" hidden="1">
      <c r="L206" s="61"/>
    </row>
    <row r="207" spans="12:12" ht="14.25" hidden="1">
      <c r="L207" s="61"/>
    </row>
    <row r="208" spans="12:12" ht="14.25" hidden="1">
      <c r="L208" s="61"/>
    </row>
    <row r="209" spans="12:12" ht="14.25" hidden="1">
      <c r="L209" s="61"/>
    </row>
    <row r="210" spans="12:12" ht="14.25" hidden="1">
      <c r="L210" s="61"/>
    </row>
    <row r="211" spans="12:12" ht="14.25" hidden="1">
      <c r="L211" s="61"/>
    </row>
    <row r="212" spans="12:12" ht="14.25" hidden="1">
      <c r="L212" s="61"/>
    </row>
    <row r="213" spans="12:12" ht="14.25" hidden="1">
      <c r="L213" s="61"/>
    </row>
    <row r="214" spans="12:12" ht="14.25" hidden="1">
      <c r="L214" s="61"/>
    </row>
    <row r="215" spans="12:12" ht="14.25" hidden="1">
      <c r="L215" s="61"/>
    </row>
    <row r="216" spans="12:12" ht="14.25" hidden="1">
      <c r="L216" s="61"/>
    </row>
    <row r="217" spans="12:12" ht="14.25" hidden="1">
      <c r="L217" s="61"/>
    </row>
    <row r="218" spans="12:12" ht="14.25" hidden="1">
      <c r="L218" s="61"/>
    </row>
    <row r="219" spans="12:12" ht="14.25" hidden="1">
      <c r="L219" s="61"/>
    </row>
    <row r="220" spans="12:12" ht="14.25" hidden="1">
      <c r="L220" s="61"/>
    </row>
    <row r="221" spans="12:12" ht="14.25" hidden="1">
      <c r="L221" s="61"/>
    </row>
    <row r="222" spans="12:12" ht="14.25" hidden="1">
      <c r="L222" s="61"/>
    </row>
    <row r="223" spans="12:12" ht="14.25" hidden="1">
      <c r="L223" s="61"/>
    </row>
    <row r="224" spans="12:12" ht="14.25" hidden="1">
      <c r="L224" s="61"/>
    </row>
    <row r="225" spans="12:12" ht="14.25" hidden="1">
      <c r="L225" s="61"/>
    </row>
    <row r="226" spans="12:12" ht="14.25" hidden="1">
      <c r="L226" s="61"/>
    </row>
    <row r="227" spans="12:12" ht="14.25" hidden="1">
      <c r="L227" s="61"/>
    </row>
    <row r="228" spans="12:12" ht="14.25" hidden="1">
      <c r="L228" s="61"/>
    </row>
    <row r="229" spans="12:12" ht="14.25" hidden="1">
      <c r="L229" s="61"/>
    </row>
    <row r="230" spans="12:12" ht="14.25" hidden="1">
      <c r="L230" s="61"/>
    </row>
    <row r="231" spans="12:12" ht="14.25" hidden="1">
      <c r="L231" s="61"/>
    </row>
    <row r="232" spans="12:12" ht="14.25" hidden="1">
      <c r="L232" s="61"/>
    </row>
    <row r="233" spans="12:12" ht="14.25" hidden="1">
      <c r="L233" s="61"/>
    </row>
    <row r="234" spans="12:12" ht="14.25" hidden="1">
      <c r="L234" s="61"/>
    </row>
    <row r="235" spans="12:12" ht="14.25" hidden="1">
      <c r="L235" s="61"/>
    </row>
    <row r="236" spans="12:12" ht="14.25" hidden="1">
      <c r="L236" s="61"/>
    </row>
    <row r="237" spans="12:12" ht="14.25" hidden="1">
      <c r="L237" s="61"/>
    </row>
    <row r="238" spans="12:12" ht="14.25" hidden="1">
      <c r="L238" s="61"/>
    </row>
    <row r="239" spans="12:12" ht="14.25" hidden="1">
      <c r="L239" s="61"/>
    </row>
    <row r="240" spans="12:12" ht="14.25" hidden="1">
      <c r="L240" s="61"/>
    </row>
    <row r="241" spans="12:12" ht="14.25" hidden="1">
      <c r="L241" s="61"/>
    </row>
    <row r="242" spans="12:12" ht="14.25" hidden="1">
      <c r="L242" s="61"/>
    </row>
    <row r="243" spans="12:12" ht="14.25" hidden="1">
      <c r="L243" s="61"/>
    </row>
    <row r="244" spans="12:12" ht="14.25" hidden="1">
      <c r="L244" s="61"/>
    </row>
    <row r="245" spans="12:12" ht="14.25" hidden="1">
      <c r="L245" s="61"/>
    </row>
    <row r="246" spans="12:12" ht="14.25" hidden="1">
      <c r="L246" s="61"/>
    </row>
    <row r="247" spans="12:12" ht="14.25" hidden="1">
      <c r="L247" s="61"/>
    </row>
    <row r="248" spans="12:12" ht="14.25" hidden="1">
      <c r="L248" s="61"/>
    </row>
    <row r="249" spans="12:12" ht="14.25" hidden="1">
      <c r="L249" s="61"/>
    </row>
    <row r="250" spans="12:12" ht="14.25" hidden="1">
      <c r="L250" s="61"/>
    </row>
    <row r="251" spans="12:12" ht="14.25" hidden="1">
      <c r="L251" s="61"/>
    </row>
    <row r="252" spans="12:12" ht="14.25" hidden="1">
      <c r="L252" s="61"/>
    </row>
    <row r="253" spans="12:12" ht="14.25" hidden="1">
      <c r="L253" s="61"/>
    </row>
    <row r="254" spans="12:12" ht="14.25" hidden="1">
      <c r="L254" s="61"/>
    </row>
    <row r="255" spans="12:12" ht="14.25" hidden="1">
      <c r="L255" s="61"/>
    </row>
    <row r="256" spans="12:12" ht="14.25" hidden="1">
      <c r="L256" s="61"/>
    </row>
    <row r="257" spans="12:12" ht="14.25" hidden="1">
      <c r="L257" s="61"/>
    </row>
    <row r="258" spans="12:12" ht="14.25" hidden="1">
      <c r="L258" s="61"/>
    </row>
    <row r="259" spans="12:12" ht="14.25" hidden="1">
      <c r="L259" s="61"/>
    </row>
    <row r="260" spans="12:12" ht="14.25" hidden="1">
      <c r="L260" s="61"/>
    </row>
    <row r="261" spans="12:12" ht="14.25" hidden="1">
      <c r="L261" s="61"/>
    </row>
    <row r="262" spans="12:12" ht="14.25" hidden="1">
      <c r="L262" s="61"/>
    </row>
    <row r="263" spans="12:12" ht="14.25" hidden="1">
      <c r="L263" s="61"/>
    </row>
    <row r="264" spans="12:12" ht="14.25" hidden="1">
      <c r="L264" s="61"/>
    </row>
    <row r="265" spans="12:12" ht="14.25" hidden="1">
      <c r="L265" s="61"/>
    </row>
    <row r="266" spans="12:12" ht="14.25" hidden="1">
      <c r="L266" s="61"/>
    </row>
    <row r="267" spans="12:12" ht="14.25" hidden="1">
      <c r="L267" s="61"/>
    </row>
    <row r="268" spans="12:12" ht="14.25" hidden="1">
      <c r="L268" s="61"/>
    </row>
    <row r="269" spans="12:12" ht="14.25" hidden="1">
      <c r="L269" s="61"/>
    </row>
    <row r="270" spans="12:12" ht="14.25" hidden="1">
      <c r="L270" s="61"/>
    </row>
    <row r="271" spans="12:12" ht="14.25" hidden="1">
      <c r="L271" s="61"/>
    </row>
    <row r="272" spans="12:12" ht="14.25" hidden="1">
      <c r="L272" s="61"/>
    </row>
    <row r="273" spans="12:12" ht="14.25" hidden="1">
      <c r="L273" s="61"/>
    </row>
    <row r="274" spans="12:12" ht="14.25" hidden="1">
      <c r="L274" s="61"/>
    </row>
    <row r="275" spans="12:12" ht="14.25" hidden="1">
      <c r="L275" s="61"/>
    </row>
    <row r="276" spans="12:12" ht="14.25" hidden="1">
      <c r="L276" s="61"/>
    </row>
    <row r="277" spans="12:12" ht="14.25" hidden="1">
      <c r="L277" s="61"/>
    </row>
    <row r="278" spans="12:12" ht="14.25" hidden="1">
      <c r="L278" s="61"/>
    </row>
    <row r="279" spans="12:12" ht="14.25" hidden="1">
      <c r="L279" s="61"/>
    </row>
    <row r="280" spans="12:12" ht="14.25" hidden="1">
      <c r="L280" s="61"/>
    </row>
    <row r="281" spans="12:12" ht="14.25" hidden="1">
      <c r="L281" s="61"/>
    </row>
    <row r="282" spans="12:12" ht="14.25" hidden="1">
      <c r="L282" s="61"/>
    </row>
    <row r="283" spans="12:12" ht="14.25" hidden="1">
      <c r="L283" s="61"/>
    </row>
    <row r="284" spans="12:12" ht="14.25" hidden="1">
      <c r="L284" s="61"/>
    </row>
    <row r="285" spans="12:12" ht="14.25" hidden="1">
      <c r="L285" s="61"/>
    </row>
    <row r="286" spans="12:12" ht="14.25" hidden="1">
      <c r="L286" s="61"/>
    </row>
    <row r="287" spans="12:12" ht="14.25" hidden="1">
      <c r="L287" s="61"/>
    </row>
    <row r="288" spans="12:12" ht="14.25" hidden="1">
      <c r="L288" s="61"/>
    </row>
    <row r="289" spans="12:12" ht="14.25" hidden="1">
      <c r="L289" s="61"/>
    </row>
    <row r="290" spans="12:12" ht="14.25" hidden="1">
      <c r="L290" s="61"/>
    </row>
    <row r="291" spans="12:12" ht="14.25" hidden="1">
      <c r="L291" s="61"/>
    </row>
    <row r="292" spans="12:12" ht="14.25" hidden="1">
      <c r="L292" s="61"/>
    </row>
    <row r="293" spans="12:12" ht="14.25" hidden="1">
      <c r="L293" s="61"/>
    </row>
    <row r="294" spans="12:12" ht="14.25" hidden="1">
      <c r="L294" s="61"/>
    </row>
    <row r="295" spans="12:12" ht="14.25" hidden="1">
      <c r="L295" s="61"/>
    </row>
    <row r="296" spans="12:12" ht="14.25" hidden="1">
      <c r="L296" s="61"/>
    </row>
    <row r="297" spans="12:12" ht="14.25" hidden="1">
      <c r="L297" s="61"/>
    </row>
    <row r="298" spans="12:12" ht="14.25" hidden="1">
      <c r="L298" s="61"/>
    </row>
    <row r="299" spans="12:12" ht="14.25" hidden="1">
      <c r="L299" s="61"/>
    </row>
    <row r="300" spans="12:12" ht="14.25" hidden="1">
      <c r="L300" s="61"/>
    </row>
    <row r="301" spans="12:12" ht="14.25" hidden="1">
      <c r="L301" s="61"/>
    </row>
    <row r="302" spans="12:12" ht="14.25" hidden="1">
      <c r="L302" s="61"/>
    </row>
    <row r="303" spans="12:12" ht="14.25" hidden="1">
      <c r="L303" s="61"/>
    </row>
    <row r="304" spans="12:12" ht="14.25" hidden="1">
      <c r="L304" s="61"/>
    </row>
    <row r="305" spans="12:12" ht="14.25" hidden="1">
      <c r="L305" s="61"/>
    </row>
    <row r="306" spans="12:12" ht="14.25" hidden="1">
      <c r="L306" s="61"/>
    </row>
    <row r="307" spans="12:12" ht="14.25" hidden="1">
      <c r="L307" s="61"/>
    </row>
    <row r="308" spans="12:12" ht="14.25" hidden="1">
      <c r="L308" s="61"/>
    </row>
    <row r="309" spans="12:12" ht="14.25" hidden="1">
      <c r="L309" s="61"/>
    </row>
    <row r="310" spans="12:12" ht="14.25" hidden="1">
      <c r="L310" s="61"/>
    </row>
    <row r="311" spans="12:12" ht="14.25" hidden="1">
      <c r="L311" s="61"/>
    </row>
    <row r="312" spans="12:12" ht="14.25" hidden="1">
      <c r="L312" s="61"/>
    </row>
    <row r="313" spans="12:12" ht="14.25" hidden="1">
      <c r="L313" s="61"/>
    </row>
    <row r="314" spans="12:12" ht="14.25" hidden="1">
      <c r="L314" s="61"/>
    </row>
    <row r="315" spans="12:12" ht="14.25" hidden="1">
      <c r="L315" s="61"/>
    </row>
    <row r="316" spans="12:12" ht="14.25" hidden="1">
      <c r="L316" s="61"/>
    </row>
    <row r="317" spans="12:12" ht="14.25" hidden="1">
      <c r="L317" s="61"/>
    </row>
    <row r="318" spans="12:12" ht="14.25" hidden="1">
      <c r="L318" s="61"/>
    </row>
    <row r="319" spans="12:12" ht="14.25" hidden="1">
      <c r="L319" s="61"/>
    </row>
    <row r="320" spans="12:12" ht="14.25" hidden="1">
      <c r="L320" s="61"/>
    </row>
    <row r="321" spans="12:12" ht="14.25" hidden="1">
      <c r="L321" s="61"/>
    </row>
    <row r="322" spans="12:12" ht="14.25" hidden="1">
      <c r="L322" s="61"/>
    </row>
    <row r="323" spans="12:12" ht="14.25" hidden="1">
      <c r="L323" s="61"/>
    </row>
    <row r="324" spans="12:12" ht="14.25" hidden="1">
      <c r="L324" s="61"/>
    </row>
    <row r="325" spans="12:12" ht="14.25" hidden="1">
      <c r="L325" s="61"/>
    </row>
    <row r="326" spans="12:12" ht="14.25" hidden="1">
      <c r="L326" s="61"/>
    </row>
    <row r="327" spans="12:12" ht="14.25" hidden="1">
      <c r="L327" s="61"/>
    </row>
    <row r="328" spans="12:12" ht="14.25" hidden="1">
      <c r="L328" s="61"/>
    </row>
    <row r="329" spans="12:12" ht="14.25" hidden="1">
      <c r="L329" s="61"/>
    </row>
    <row r="330" spans="12:12" ht="14.25" hidden="1">
      <c r="L330" s="61"/>
    </row>
    <row r="331" spans="12:12" ht="14.25" hidden="1">
      <c r="L331" s="61"/>
    </row>
    <row r="332" spans="12:12" ht="14.25" hidden="1">
      <c r="L332" s="61"/>
    </row>
    <row r="333" spans="12:12" ht="14.25" hidden="1">
      <c r="L333" s="61"/>
    </row>
    <row r="334" spans="12:12" ht="14.25" hidden="1">
      <c r="L334" s="61"/>
    </row>
    <row r="335" spans="12:12" ht="14.25" hidden="1">
      <c r="L335" s="61"/>
    </row>
    <row r="336" spans="12:12" ht="14.25" hidden="1">
      <c r="L336" s="61"/>
    </row>
    <row r="337" spans="12:12" ht="14.25" hidden="1">
      <c r="L337" s="61"/>
    </row>
    <row r="338" spans="12:12" ht="14.25" hidden="1">
      <c r="L338" s="61"/>
    </row>
    <row r="339" spans="12:12" ht="14.25" hidden="1">
      <c r="L339" s="61"/>
    </row>
    <row r="340" spans="12:12" ht="14.25" hidden="1">
      <c r="L340" s="61"/>
    </row>
    <row r="341" spans="12:12" ht="14.25" hidden="1">
      <c r="L341" s="61"/>
    </row>
    <row r="342" spans="12:12" ht="14.25" hidden="1">
      <c r="L342" s="61"/>
    </row>
    <row r="343" spans="12:12" ht="14.25" hidden="1">
      <c r="L343" s="61"/>
    </row>
    <row r="344" spans="12:12" ht="14.25" hidden="1">
      <c r="L344" s="61"/>
    </row>
    <row r="345" spans="12:12" ht="14.25" hidden="1">
      <c r="L345" s="61"/>
    </row>
    <row r="346" spans="12:12" ht="14.25" hidden="1">
      <c r="L346" s="61"/>
    </row>
    <row r="347" spans="12:12" ht="14.25" hidden="1">
      <c r="L347" s="61"/>
    </row>
    <row r="348" spans="12:12" ht="14.25" hidden="1">
      <c r="L348" s="61"/>
    </row>
    <row r="349" spans="12:12" ht="14.25" hidden="1">
      <c r="L349" s="61"/>
    </row>
    <row r="350" spans="12:12" ht="14.25" hidden="1">
      <c r="L350" s="61"/>
    </row>
    <row r="351" spans="12:12" ht="14.25" hidden="1">
      <c r="L351" s="61"/>
    </row>
    <row r="352" spans="12:12" ht="14.25" hidden="1">
      <c r="L352" s="61"/>
    </row>
    <row r="353" spans="12:12" ht="14.25" hidden="1">
      <c r="L353" s="61"/>
    </row>
    <row r="354" spans="12:12" ht="14.25" hidden="1">
      <c r="L354" s="61"/>
    </row>
    <row r="355" spans="12:12" ht="14.25" hidden="1">
      <c r="L355" s="61"/>
    </row>
    <row r="356" spans="12:12" ht="14.25" hidden="1">
      <c r="L356" s="61"/>
    </row>
    <row r="357" spans="12:12" ht="14.25" hidden="1">
      <c r="L357" s="61"/>
    </row>
    <row r="358" spans="12:12" ht="14.25" hidden="1">
      <c r="L358" s="61"/>
    </row>
    <row r="359" spans="12:12" ht="14.25" hidden="1">
      <c r="L359" s="61"/>
    </row>
    <row r="360" spans="12:12" ht="14.25" hidden="1">
      <c r="L360" s="61"/>
    </row>
    <row r="361" spans="12:12" ht="14.25" hidden="1">
      <c r="L361" s="61"/>
    </row>
    <row r="362" spans="12:12" ht="14.25" hidden="1">
      <c r="L362" s="61"/>
    </row>
    <row r="363" spans="12:12" ht="14.25" hidden="1">
      <c r="L363" s="61"/>
    </row>
    <row r="364" spans="12:12" ht="14.25" hidden="1">
      <c r="L364" s="61"/>
    </row>
    <row r="365" spans="12:12" ht="14.25" hidden="1">
      <c r="L365" s="61"/>
    </row>
    <row r="366" spans="12:12" ht="14.25" hidden="1">
      <c r="L366" s="61"/>
    </row>
    <row r="367" spans="12:12" ht="14.25" hidden="1">
      <c r="L367" s="61"/>
    </row>
    <row r="368" spans="12:12" ht="14.25" hidden="1">
      <c r="L368" s="61"/>
    </row>
    <row r="369" spans="12:12" ht="14.25" hidden="1">
      <c r="L369" s="61"/>
    </row>
    <row r="370" spans="12:12" ht="14.25" hidden="1">
      <c r="L370" s="61"/>
    </row>
    <row r="371" spans="12:12" ht="14.25" hidden="1">
      <c r="L371" s="61"/>
    </row>
    <row r="372" spans="12:12" ht="14.25" hidden="1">
      <c r="L372" s="61"/>
    </row>
    <row r="373" spans="12:12" ht="14.25" hidden="1">
      <c r="L373" s="61"/>
    </row>
    <row r="374" spans="12:12" ht="14.25" hidden="1">
      <c r="L374" s="61"/>
    </row>
    <row r="375" spans="12:12" ht="14.25" hidden="1">
      <c r="L375" s="61"/>
    </row>
    <row r="376" spans="12:12" ht="14.25" hidden="1">
      <c r="L376" s="61"/>
    </row>
    <row r="377" spans="12:12" ht="14.25" hidden="1">
      <c r="L377" s="61"/>
    </row>
    <row r="378" spans="12:12" ht="14.25" hidden="1">
      <c r="L378" s="61"/>
    </row>
    <row r="379" spans="12:12" ht="14.25" hidden="1">
      <c r="L379" s="61"/>
    </row>
    <row r="380" spans="12:12" ht="14.25" hidden="1">
      <c r="L380" s="61"/>
    </row>
    <row r="381" spans="12:12" ht="14.25" hidden="1">
      <c r="L381" s="61"/>
    </row>
    <row r="382" spans="12:12" ht="14.25" hidden="1">
      <c r="L382" s="61"/>
    </row>
    <row r="383" spans="12:12" ht="14.25" hidden="1">
      <c r="L383" s="61"/>
    </row>
    <row r="384" spans="12:12" ht="14.25" hidden="1">
      <c r="L384" s="61"/>
    </row>
    <row r="385" spans="12:12" ht="14.25" hidden="1">
      <c r="L385" s="61"/>
    </row>
    <row r="386" spans="12:12" ht="14.25" hidden="1">
      <c r="L386" s="61"/>
    </row>
    <row r="387" spans="12:12" ht="14.25" hidden="1">
      <c r="L387" s="61"/>
    </row>
    <row r="388" spans="12:12" ht="14.25" hidden="1">
      <c r="L388" s="61"/>
    </row>
    <row r="389" spans="12:12" ht="14.25" hidden="1">
      <c r="L389" s="61"/>
    </row>
    <row r="390" spans="12:12" ht="14.25" hidden="1">
      <c r="L390" s="61"/>
    </row>
    <row r="391" spans="12:12" ht="14.25" hidden="1">
      <c r="L391" s="61"/>
    </row>
    <row r="392" spans="12:12" ht="14.25" hidden="1">
      <c r="L392" s="61"/>
    </row>
    <row r="393" spans="12:12" ht="14.25" hidden="1">
      <c r="L393" s="61"/>
    </row>
    <row r="394" spans="12:12" ht="14.25" hidden="1">
      <c r="L394" s="61"/>
    </row>
    <row r="395" spans="12:12" ht="14.25" hidden="1">
      <c r="L395" s="61"/>
    </row>
    <row r="396" spans="12:12" ht="14.25" hidden="1">
      <c r="L396" s="61"/>
    </row>
    <row r="397" spans="12:12" ht="14.25" hidden="1">
      <c r="L397" s="61"/>
    </row>
    <row r="398" spans="12:12" ht="14.25" hidden="1">
      <c r="L398" s="61"/>
    </row>
    <row r="399" spans="12:12" ht="14.25" hidden="1">
      <c r="L399" s="61"/>
    </row>
    <row r="400" spans="12:12" ht="14.25" hidden="1">
      <c r="L400" s="61"/>
    </row>
    <row r="401" spans="12:12" ht="14.25" hidden="1">
      <c r="L401" s="61"/>
    </row>
    <row r="402" spans="12:12" ht="14.25" hidden="1">
      <c r="L402" s="61"/>
    </row>
    <row r="403" spans="12:12" ht="14.25" hidden="1">
      <c r="L403" s="61"/>
    </row>
    <row r="404" spans="12:12" ht="14.25" hidden="1">
      <c r="L404" s="61"/>
    </row>
    <row r="405" spans="12:12" ht="14.25" hidden="1">
      <c r="L405" s="61"/>
    </row>
    <row r="406" spans="12:12" ht="14.25" hidden="1">
      <c r="L406" s="61"/>
    </row>
    <row r="407" spans="12:12" ht="14.25" hidden="1">
      <c r="L407" s="61"/>
    </row>
    <row r="408" spans="12:12" ht="14.25" hidden="1">
      <c r="L408" s="61"/>
    </row>
    <row r="409" spans="12:12" ht="14.25" hidden="1">
      <c r="L409" s="61"/>
    </row>
    <row r="410" spans="12:12" ht="14.25" hidden="1">
      <c r="L410" s="61"/>
    </row>
    <row r="411" spans="12:12" ht="14.25" hidden="1">
      <c r="L411" s="61"/>
    </row>
    <row r="412" spans="12:12" ht="14.25" hidden="1">
      <c r="L412" s="61"/>
    </row>
    <row r="413" spans="12:12" ht="14.25" hidden="1">
      <c r="L413" s="61"/>
    </row>
    <row r="414" spans="12:12" ht="14.25" hidden="1">
      <c r="L414" s="61"/>
    </row>
    <row r="415" spans="12:12" ht="14.25" hidden="1">
      <c r="L415" s="61"/>
    </row>
    <row r="416" spans="12:12" ht="14.25" hidden="1">
      <c r="L416" s="61"/>
    </row>
    <row r="417" spans="12:12" ht="14.25" hidden="1">
      <c r="L417" s="61"/>
    </row>
    <row r="418" spans="12:12" ht="14.25" hidden="1">
      <c r="L418" s="61"/>
    </row>
    <row r="419" spans="12:12" ht="14.25" hidden="1">
      <c r="L419" s="61"/>
    </row>
    <row r="420" spans="12:12" ht="14.25" hidden="1">
      <c r="L420" s="61"/>
    </row>
    <row r="421" spans="12:12" ht="14.25" hidden="1">
      <c r="L421" s="61"/>
    </row>
    <row r="422" spans="12:12" ht="14.25" hidden="1">
      <c r="L422" s="61"/>
    </row>
    <row r="423" spans="12:12" ht="14.25" hidden="1">
      <c r="L423" s="61"/>
    </row>
    <row r="424" spans="12:12" ht="14.25" hidden="1">
      <c r="L424" s="61"/>
    </row>
    <row r="425" spans="12:12" ht="14.25" hidden="1">
      <c r="L425" s="61"/>
    </row>
    <row r="426" spans="12:12" ht="14.25" hidden="1">
      <c r="L426" s="61"/>
    </row>
    <row r="427" spans="12:12" ht="14.25" hidden="1">
      <c r="L427" s="61"/>
    </row>
    <row r="428" spans="12:12" ht="14.25" hidden="1">
      <c r="L428" s="61"/>
    </row>
    <row r="429" spans="12:12" ht="14.25" hidden="1">
      <c r="L429" s="61"/>
    </row>
    <row r="430" spans="12:12" ht="14.25" hidden="1">
      <c r="L430" s="61"/>
    </row>
    <row r="431" spans="12:12" ht="14.25" hidden="1">
      <c r="L431" s="61"/>
    </row>
    <row r="432" spans="12:12" ht="14.25" hidden="1">
      <c r="L432" s="61"/>
    </row>
    <row r="433" spans="12:12" ht="14.25" hidden="1">
      <c r="L433" s="61"/>
    </row>
    <row r="434" spans="12:12" ht="14.25" hidden="1">
      <c r="L434" s="61"/>
    </row>
    <row r="435" spans="12:12" ht="14.25" hidden="1">
      <c r="L435" s="61"/>
    </row>
    <row r="436" spans="12:12" ht="14.25" hidden="1">
      <c r="L436" s="61"/>
    </row>
    <row r="437" spans="12:12" ht="14.25" hidden="1">
      <c r="L437" s="61"/>
    </row>
    <row r="438" spans="12:12" ht="14.25" hidden="1">
      <c r="L438" s="61"/>
    </row>
    <row r="439" spans="12:12" ht="14.25" hidden="1">
      <c r="L439" s="61"/>
    </row>
    <row r="440" spans="12:12" ht="14.25" hidden="1">
      <c r="L440" s="61"/>
    </row>
    <row r="441" spans="12:12" ht="14.25" hidden="1">
      <c r="L441" s="61"/>
    </row>
    <row r="442" spans="12:12" ht="14.25" hidden="1">
      <c r="L442" s="61"/>
    </row>
    <row r="443" spans="12:12" ht="14.25" hidden="1">
      <c r="L443" s="61"/>
    </row>
    <row r="444" spans="12:12" ht="14.25" hidden="1">
      <c r="L444" s="61"/>
    </row>
    <row r="445" spans="12:12" ht="14.25" hidden="1">
      <c r="L445" s="61"/>
    </row>
    <row r="446" spans="12:12" ht="14.25" hidden="1">
      <c r="L446" s="61"/>
    </row>
    <row r="447" spans="12:12" ht="14.25" hidden="1">
      <c r="L447" s="61"/>
    </row>
    <row r="448" spans="12:12" ht="14.25" hidden="1">
      <c r="L448" s="61"/>
    </row>
    <row r="449" spans="12:12" ht="14.25" hidden="1">
      <c r="L449" s="61"/>
    </row>
    <row r="450" spans="12:12" ht="14.25" hidden="1">
      <c r="L450" s="61"/>
    </row>
    <row r="451" spans="12:12" ht="14.25" hidden="1">
      <c r="L451" s="61"/>
    </row>
    <row r="452" spans="12:12" ht="14.25" hidden="1">
      <c r="L452" s="61"/>
    </row>
    <row r="453" spans="12:12" ht="14.25" hidden="1">
      <c r="L453" s="61"/>
    </row>
    <row r="454" spans="12:12" ht="14.25" hidden="1">
      <c r="L454" s="61"/>
    </row>
    <row r="455" spans="12:12" ht="14.25" hidden="1">
      <c r="L455" s="61"/>
    </row>
    <row r="456" spans="12:12" ht="14.25" hidden="1">
      <c r="L456" s="61"/>
    </row>
    <row r="457" spans="12:12" ht="14.25" hidden="1">
      <c r="L457" s="61"/>
    </row>
    <row r="458" spans="12:12" ht="14.25" hidden="1">
      <c r="L458" s="61"/>
    </row>
    <row r="459" spans="12:12" ht="14.25" hidden="1">
      <c r="L459" s="61"/>
    </row>
    <row r="460" spans="12:12" ht="14.25" hidden="1">
      <c r="L460" s="61"/>
    </row>
    <row r="461" spans="12:12" ht="14.25" hidden="1">
      <c r="L461" s="61"/>
    </row>
    <row r="462" spans="12:12" ht="14.25" hidden="1">
      <c r="L462" s="61"/>
    </row>
    <row r="463" spans="12:12" ht="14.25" hidden="1">
      <c r="L463" s="61"/>
    </row>
    <row r="464" spans="12:12" ht="14.25" hidden="1">
      <c r="L464" s="61"/>
    </row>
    <row r="465" spans="12:12" ht="14.25" hidden="1">
      <c r="L465" s="61"/>
    </row>
    <row r="466" spans="12:12" ht="14.25" hidden="1">
      <c r="L466" s="61"/>
    </row>
    <row r="467" spans="12:12" ht="14.25" hidden="1">
      <c r="L467" s="61"/>
    </row>
    <row r="468" spans="12:12" ht="14.25" hidden="1">
      <c r="L468" s="61"/>
    </row>
    <row r="469" spans="12:12" ht="14.25" hidden="1">
      <c r="L469" s="61"/>
    </row>
    <row r="470" spans="12:12" ht="14.25" hidden="1">
      <c r="L470" s="61"/>
    </row>
    <row r="471" spans="12:12" ht="14.25" hidden="1">
      <c r="L471" s="61"/>
    </row>
    <row r="472" spans="12:12" ht="14.25" hidden="1">
      <c r="L472" s="61"/>
    </row>
    <row r="473" spans="12:12" ht="14.25" hidden="1">
      <c r="L473" s="61"/>
    </row>
    <row r="474" spans="12:12" ht="14.25" hidden="1">
      <c r="L474" s="61"/>
    </row>
    <row r="475" spans="12:12" ht="14.25" hidden="1">
      <c r="L475" s="61"/>
    </row>
    <row r="476" spans="12:12" ht="14.25" hidden="1">
      <c r="L476" s="61"/>
    </row>
    <row r="477" spans="12:12" ht="14.25" hidden="1">
      <c r="L477" s="61"/>
    </row>
    <row r="478" spans="12:12" ht="14.25" hidden="1">
      <c r="L478" s="61"/>
    </row>
    <row r="479" spans="12:12" ht="14.25" hidden="1">
      <c r="L479" s="61"/>
    </row>
    <row r="480" spans="12:12" ht="14.25" hidden="1">
      <c r="L480" s="61"/>
    </row>
    <row r="481" spans="12:12" ht="14.25" hidden="1">
      <c r="L481" s="61"/>
    </row>
    <row r="482" spans="12:12" ht="14.25" hidden="1">
      <c r="L482" s="61"/>
    </row>
    <row r="483" spans="12:12" ht="14.25" hidden="1">
      <c r="L483" s="61"/>
    </row>
    <row r="484" spans="12:12" ht="14.25" hidden="1">
      <c r="L484" s="61"/>
    </row>
    <row r="485" spans="12:12" ht="14.25" hidden="1">
      <c r="L485" s="61"/>
    </row>
    <row r="486" spans="12:12" ht="14.25" hidden="1">
      <c r="L486" s="61"/>
    </row>
    <row r="487" spans="12:12" ht="14.25" hidden="1">
      <c r="L487" s="61"/>
    </row>
    <row r="488" spans="12:12" ht="14.25" hidden="1">
      <c r="L488" s="61"/>
    </row>
    <row r="489" spans="12:12" ht="14.25" hidden="1">
      <c r="L489" s="61"/>
    </row>
    <row r="490" spans="12:12" ht="14.25" hidden="1">
      <c r="L490" s="61"/>
    </row>
    <row r="491" spans="12:12" ht="14.25" hidden="1">
      <c r="L491" s="61"/>
    </row>
    <row r="492" spans="12:12" ht="14.25" hidden="1">
      <c r="L492" s="61"/>
    </row>
    <row r="493" spans="12:12" ht="14.25" hidden="1">
      <c r="L493" s="61"/>
    </row>
    <row r="494" spans="12:12" ht="14.25" hidden="1">
      <c r="L494" s="61"/>
    </row>
    <row r="495" spans="12:12" ht="14.25" hidden="1">
      <c r="L495" s="61"/>
    </row>
    <row r="496" spans="12:12" ht="14.25" hidden="1">
      <c r="L496" s="61"/>
    </row>
    <row r="497" spans="12:12" ht="14.25" hidden="1">
      <c r="L497" s="61"/>
    </row>
    <row r="498" spans="12:12" ht="14.25" hidden="1">
      <c r="L498" s="61"/>
    </row>
    <row r="499" spans="12:12" ht="14.25" hidden="1">
      <c r="L499" s="61"/>
    </row>
    <row r="500" spans="12:12" ht="14.25" hidden="1">
      <c r="L500" s="61"/>
    </row>
    <row r="501" spans="12:12" ht="14.25" hidden="1">
      <c r="L501" s="61"/>
    </row>
    <row r="502" spans="12:12" ht="14.25" hidden="1">
      <c r="L502" s="61"/>
    </row>
    <row r="503" spans="12:12" ht="14.25" hidden="1">
      <c r="L503" s="61"/>
    </row>
    <row r="504" spans="12:12" ht="14.25" hidden="1">
      <c r="L504" s="61"/>
    </row>
    <row r="505" spans="12:12" ht="14.25" hidden="1">
      <c r="L505" s="61"/>
    </row>
    <row r="506" spans="12:12" ht="14.25" hidden="1">
      <c r="L506" s="61"/>
    </row>
    <row r="507" spans="12:12" ht="14.25" hidden="1">
      <c r="L507" s="61"/>
    </row>
    <row r="508" spans="12:12" ht="14.25" hidden="1">
      <c r="L508" s="61"/>
    </row>
    <row r="509" spans="12:12" ht="14.25" hidden="1">
      <c r="L509" s="61"/>
    </row>
    <row r="510" spans="12:12" ht="14.25" hidden="1">
      <c r="L510" s="61"/>
    </row>
    <row r="511" spans="12:12" ht="14.25" hidden="1">
      <c r="L511" s="61"/>
    </row>
    <row r="512" spans="12:12" ht="14.25" hidden="1">
      <c r="L512" s="61"/>
    </row>
    <row r="513" spans="12:12" ht="14.25" hidden="1">
      <c r="L513" s="61"/>
    </row>
    <row r="514" spans="12:12" ht="14.25" hidden="1">
      <c r="L514" s="61"/>
    </row>
    <row r="515" spans="12:12" ht="14.25" hidden="1">
      <c r="L515" s="61"/>
    </row>
    <row r="516" spans="12:12" ht="14.25" hidden="1">
      <c r="L516" s="61"/>
    </row>
    <row r="517" spans="12:12" ht="14.25" hidden="1">
      <c r="L517" s="61"/>
    </row>
    <row r="518" spans="12:12" ht="14.25" hidden="1">
      <c r="L518" s="61"/>
    </row>
    <row r="519" spans="12:12" ht="14.25" hidden="1">
      <c r="L519" s="61"/>
    </row>
    <row r="520" spans="12:12" ht="14.25" hidden="1">
      <c r="L520" s="61"/>
    </row>
    <row r="521" spans="12:12" ht="14.25" hidden="1">
      <c r="L521" s="61"/>
    </row>
    <row r="522" spans="12:12" ht="14.25" hidden="1">
      <c r="L522" s="61"/>
    </row>
    <row r="523" spans="12:12" ht="14.25" hidden="1">
      <c r="L523" s="61"/>
    </row>
    <row r="524" spans="12:12" ht="14.25" hidden="1">
      <c r="L524" s="61"/>
    </row>
    <row r="525" spans="12:12" ht="14.25" hidden="1">
      <c r="L525" s="61"/>
    </row>
    <row r="526" spans="12:12" ht="14.25" hidden="1">
      <c r="L526" s="61"/>
    </row>
    <row r="527" spans="12:12" ht="14.25" hidden="1">
      <c r="L527" s="61"/>
    </row>
    <row r="528" spans="12:12" ht="14.25" hidden="1">
      <c r="L528" s="61"/>
    </row>
    <row r="529" spans="12:12" ht="14.25" hidden="1">
      <c r="L529" s="61"/>
    </row>
    <row r="530" spans="12:12" ht="14.25" hidden="1">
      <c r="L530" s="61"/>
    </row>
    <row r="531" spans="12:12" ht="14.25" hidden="1">
      <c r="L531" s="61"/>
    </row>
    <row r="532" spans="12:12" ht="14.25" hidden="1">
      <c r="L532" s="61"/>
    </row>
    <row r="533" spans="12:12" ht="14.25" hidden="1">
      <c r="L533" s="61"/>
    </row>
    <row r="534" spans="12:12" ht="14.25" hidden="1">
      <c r="L534" s="61"/>
    </row>
    <row r="535" spans="12:12" ht="14.25" hidden="1">
      <c r="L535" s="61"/>
    </row>
    <row r="536" spans="12:12" ht="14.25" hidden="1">
      <c r="L536" s="61"/>
    </row>
    <row r="537" spans="12:12" ht="14.25" hidden="1">
      <c r="L537" s="61"/>
    </row>
    <row r="538" spans="12:12" ht="14.25" hidden="1">
      <c r="L538" s="61"/>
    </row>
    <row r="539" spans="12:12" ht="14.25" hidden="1">
      <c r="L539" s="61"/>
    </row>
    <row r="540" spans="12:12" ht="14.25" hidden="1">
      <c r="L540" s="61"/>
    </row>
    <row r="541" spans="12:12" ht="14.25" hidden="1">
      <c r="L541" s="61"/>
    </row>
    <row r="542" spans="12:12" ht="14.25" hidden="1">
      <c r="L542" s="61"/>
    </row>
    <row r="543" spans="12:12" ht="14.25" hidden="1">
      <c r="L543" s="61"/>
    </row>
    <row r="544" spans="12:12" ht="14.25" hidden="1">
      <c r="L544" s="61"/>
    </row>
    <row r="545" spans="12:12" ht="14.25" hidden="1">
      <c r="L545" s="61"/>
    </row>
    <row r="546" spans="12:12" ht="14.25" hidden="1">
      <c r="L546" s="61"/>
    </row>
    <row r="547" spans="12:12" ht="14.25" hidden="1">
      <c r="L547" s="61"/>
    </row>
    <row r="548" spans="12:12" ht="14.25" hidden="1">
      <c r="L548" s="61"/>
    </row>
    <row r="549" spans="12:12" ht="14.25" hidden="1">
      <c r="L549" s="61"/>
    </row>
    <row r="550" spans="12:12" ht="14.25" hidden="1">
      <c r="L550" s="61"/>
    </row>
    <row r="551" spans="12:12" ht="14.25" hidden="1">
      <c r="L551" s="61"/>
    </row>
    <row r="552" spans="12:12" ht="14.25" hidden="1">
      <c r="L552" s="61"/>
    </row>
    <row r="553" spans="12:12" ht="14.25" hidden="1">
      <c r="L553" s="61"/>
    </row>
    <row r="554" spans="12:12" ht="14.25" hidden="1">
      <c r="L554" s="61"/>
    </row>
    <row r="555" spans="12:12" ht="14.25" hidden="1">
      <c r="L555" s="61"/>
    </row>
    <row r="556" spans="12:12" ht="14.25" hidden="1">
      <c r="L556" s="61"/>
    </row>
    <row r="557" spans="12:12" ht="14.25" hidden="1">
      <c r="L557" s="61"/>
    </row>
    <row r="558" spans="12:12" ht="14.25" hidden="1">
      <c r="L558" s="61"/>
    </row>
    <row r="559" spans="12:12" ht="14.25" hidden="1">
      <c r="L559" s="61"/>
    </row>
    <row r="560" spans="12:12" ht="14.25" hidden="1">
      <c r="L560" s="61"/>
    </row>
    <row r="561" spans="12:12" ht="14.25" hidden="1">
      <c r="L561" s="61"/>
    </row>
    <row r="562" spans="12:12" ht="14.25" hidden="1">
      <c r="L562" s="61"/>
    </row>
    <row r="563" spans="12:12" ht="14.25" hidden="1">
      <c r="L563" s="61"/>
    </row>
    <row r="564" spans="12:12" ht="14.25" hidden="1">
      <c r="L564" s="61"/>
    </row>
    <row r="565" spans="12:12" ht="14.25" hidden="1">
      <c r="L565" s="61"/>
    </row>
    <row r="566" spans="12:12" ht="14.25" hidden="1">
      <c r="L566" s="61"/>
    </row>
    <row r="567" spans="12:12" ht="14.25" hidden="1">
      <c r="L567" s="61"/>
    </row>
    <row r="568" spans="12:12" ht="14.25" hidden="1">
      <c r="L568" s="61"/>
    </row>
    <row r="569" spans="12:12" ht="14.25" hidden="1">
      <c r="L569" s="61"/>
    </row>
    <row r="570" spans="12:12" ht="14.25" hidden="1">
      <c r="L570" s="61"/>
    </row>
    <row r="571" spans="12:12" ht="14.25" hidden="1">
      <c r="L571" s="61"/>
    </row>
    <row r="572" spans="12:12" ht="14.25" hidden="1">
      <c r="L572" s="61"/>
    </row>
    <row r="573" spans="12:12" ht="14.25" hidden="1">
      <c r="L573" s="61"/>
    </row>
    <row r="574" spans="12:12" ht="14.25" hidden="1">
      <c r="L574" s="61"/>
    </row>
    <row r="575" spans="12:12" ht="14.25" hidden="1">
      <c r="L575" s="61"/>
    </row>
    <row r="576" spans="12:12" ht="14.25" hidden="1">
      <c r="L576" s="61"/>
    </row>
    <row r="577" spans="12:12" ht="14.25" hidden="1">
      <c r="L577" s="61"/>
    </row>
    <row r="578" spans="12:12" ht="14.25" hidden="1">
      <c r="L578" s="61"/>
    </row>
    <row r="579" spans="12:12" ht="14.25" hidden="1">
      <c r="L579" s="61"/>
    </row>
    <row r="580" spans="12:12" ht="14.25" hidden="1">
      <c r="L580" s="61"/>
    </row>
    <row r="581" spans="12:12" ht="14.25" hidden="1">
      <c r="L581" s="61"/>
    </row>
    <row r="582" spans="12:12" ht="14.25" hidden="1">
      <c r="L582" s="61"/>
    </row>
    <row r="583" spans="12:12" ht="14.25" hidden="1">
      <c r="L583" s="61"/>
    </row>
    <row r="584" spans="12:12" ht="14.25" hidden="1">
      <c r="L584" s="61"/>
    </row>
    <row r="585" spans="12:12" ht="14.25" hidden="1">
      <c r="L585" s="61"/>
    </row>
    <row r="586" spans="12:12" ht="14.25" hidden="1">
      <c r="L586" s="61"/>
    </row>
    <row r="587" spans="12:12" ht="14.25" hidden="1">
      <c r="L587" s="61"/>
    </row>
    <row r="588" spans="12:12" ht="14.25" hidden="1">
      <c r="L588" s="61"/>
    </row>
    <row r="589" spans="12:12" ht="14.25" hidden="1">
      <c r="L589" s="61"/>
    </row>
    <row r="590" spans="12:12" ht="14.25" hidden="1">
      <c r="L590" s="61"/>
    </row>
    <row r="591" spans="12:12" ht="14.25" hidden="1">
      <c r="L591" s="61"/>
    </row>
    <row r="592" spans="12:12" ht="14.25" hidden="1">
      <c r="L592" s="61"/>
    </row>
    <row r="593" spans="12:12" ht="14.25" hidden="1">
      <c r="L593" s="61"/>
    </row>
    <row r="594" spans="12:12" ht="14.25" hidden="1">
      <c r="L594" s="61"/>
    </row>
    <row r="595" spans="12:12" ht="14.25" hidden="1">
      <c r="L595" s="61"/>
    </row>
    <row r="596" spans="12:12" ht="14.25" hidden="1">
      <c r="L596" s="61"/>
    </row>
    <row r="597" spans="12:12" ht="14.25" hidden="1">
      <c r="L597" s="61"/>
    </row>
    <row r="598" spans="12:12" ht="14.25" hidden="1">
      <c r="L598" s="61"/>
    </row>
    <row r="599" spans="12:12" ht="14.25" hidden="1">
      <c r="L599" s="61"/>
    </row>
    <row r="600" spans="12:12" ht="14.25" hidden="1">
      <c r="L600" s="61"/>
    </row>
    <row r="601" spans="12:12" ht="14.25" hidden="1">
      <c r="L601" s="61"/>
    </row>
    <row r="602" spans="12:12" ht="14.25" hidden="1">
      <c r="L602" s="61"/>
    </row>
    <row r="603" spans="12:12" ht="14.25" hidden="1">
      <c r="L603" s="61"/>
    </row>
    <row r="604" spans="12:12" ht="14.25" hidden="1">
      <c r="L604" s="61"/>
    </row>
    <row r="605" spans="12:12" ht="14.25" hidden="1">
      <c r="L605" s="61"/>
    </row>
    <row r="606" spans="12:12" ht="14.25" hidden="1">
      <c r="L606" s="61"/>
    </row>
    <row r="607" spans="12:12" ht="14.25" hidden="1">
      <c r="L607" s="61"/>
    </row>
    <row r="608" spans="12:12" ht="14.25" hidden="1">
      <c r="L608" s="61"/>
    </row>
    <row r="609" spans="12:12" ht="14.25" hidden="1">
      <c r="L609" s="61"/>
    </row>
    <row r="610" spans="12:12" ht="14.25" hidden="1">
      <c r="L610" s="61"/>
    </row>
    <row r="611" spans="12:12" ht="14.25" hidden="1">
      <c r="L611" s="61"/>
    </row>
    <row r="612" spans="12:12" ht="14.25" hidden="1">
      <c r="L612" s="61"/>
    </row>
    <row r="613" spans="12:12" ht="14.25" hidden="1">
      <c r="L613" s="61"/>
    </row>
    <row r="614" spans="12:12" ht="14.25" hidden="1">
      <c r="L614" s="61"/>
    </row>
    <row r="615" spans="12:12" ht="14.25" hidden="1">
      <c r="L615" s="61"/>
    </row>
    <row r="616" spans="12:12" ht="14.25" hidden="1">
      <c r="L616" s="61"/>
    </row>
    <row r="617" spans="12:12" ht="14.25" hidden="1">
      <c r="L617" s="61"/>
    </row>
    <row r="618" spans="12:12" ht="14.25" hidden="1">
      <c r="L618" s="61"/>
    </row>
    <row r="619" spans="12:12" ht="14.25" hidden="1">
      <c r="L619" s="61"/>
    </row>
    <row r="620" spans="12:12" ht="14.25" hidden="1">
      <c r="L620" s="61"/>
    </row>
    <row r="621" spans="12:12" ht="14.25" hidden="1">
      <c r="L621" s="61"/>
    </row>
    <row r="622" spans="12:12" ht="14.25" hidden="1">
      <c r="L622" s="61"/>
    </row>
    <row r="623" spans="12:12" ht="14.25" hidden="1">
      <c r="L623" s="61"/>
    </row>
    <row r="624" spans="12:12" ht="14.25" hidden="1">
      <c r="L624" s="61"/>
    </row>
    <row r="625" spans="12:12" ht="14.25" hidden="1">
      <c r="L625" s="61"/>
    </row>
    <row r="626" spans="12:12" ht="14.25" hidden="1">
      <c r="L626" s="61"/>
    </row>
    <row r="627" spans="12:12" ht="14.25" hidden="1">
      <c r="L627" s="61"/>
    </row>
    <row r="628" spans="12:12" ht="14.25" hidden="1">
      <c r="L628" s="61"/>
    </row>
    <row r="629" spans="12:12" ht="14.25" hidden="1">
      <c r="L629" s="61"/>
    </row>
    <row r="630" spans="12:12" ht="14.25" hidden="1">
      <c r="L630" s="61"/>
    </row>
    <row r="631" spans="12:12" ht="14.25" hidden="1">
      <c r="L631" s="61"/>
    </row>
    <row r="632" spans="12:12" ht="14.25" hidden="1">
      <c r="L632" s="61"/>
    </row>
    <row r="633" spans="12:12" ht="14.25" hidden="1">
      <c r="L633" s="61"/>
    </row>
    <row r="634" spans="12:12" ht="14.25" hidden="1">
      <c r="L634" s="61"/>
    </row>
    <row r="635" spans="12:12" ht="14.25" hidden="1">
      <c r="L635" s="61"/>
    </row>
    <row r="636" spans="12:12" ht="14.25" hidden="1">
      <c r="L636" s="61"/>
    </row>
    <row r="637" spans="12:12" ht="14.25" hidden="1">
      <c r="L637" s="61"/>
    </row>
    <row r="638" spans="12:12" ht="14.25" hidden="1">
      <c r="L638" s="61"/>
    </row>
    <row r="639" spans="12:12" ht="14.25" hidden="1">
      <c r="L639" s="61"/>
    </row>
    <row r="640" spans="12:12" ht="14.25" hidden="1">
      <c r="L640" s="61"/>
    </row>
    <row r="641" spans="12:12" ht="14.25" hidden="1">
      <c r="L641" s="61"/>
    </row>
    <row r="642" spans="12:12" ht="14.25" hidden="1">
      <c r="L642" s="61"/>
    </row>
    <row r="643" spans="12:12" ht="14.25" hidden="1">
      <c r="L643" s="61"/>
    </row>
    <row r="644" spans="12:12" ht="14.25" hidden="1">
      <c r="L644" s="61"/>
    </row>
    <row r="645" spans="12:12" ht="14.25" hidden="1">
      <c r="L645" s="61"/>
    </row>
    <row r="646" spans="12:12" ht="14.25" hidden="1">
      <c r="L646" s="61"/>
    </row>
    <row r="647" spans="12:12" ht="14.25" hidden="1">
      <c r="L647" s="61"/>
    </row>
    <row r="648" spans="12:12" ht="14.25" hidden="1">
      <c r="L648" s="61"/>
    </row>
    <row r="649" spans="12:12" ht="14.25" hidden="1">
      <c r="L649" s="61"/>
    </row>
    <row r="650" spans="12:12" ht="14.25" hidden="1">
      <c r="L650" s="61"/>
    </row>
    <row r="651" spans="12:12" ht="14.25" hidden="1">
      <c r="L651" s="61"/>
    </row>
    <row r="652" spans="12:12" ht="14.25" hidden="1">
      <c r="L652" s="61"/>
    </row>
    <row r="653" spans="12:12" ht="14.25" hidden="1">
      <c r="L653" s="61"/>
    </row>
    <row r="654" spans="12:12" ht="14.25" hidden="1">
      <c r="L654" s="61"/>
    </row>
    <row r="655" spans="12:12" ht="14.25" hidden="1">
      <c r="L655" s="61"/>
    </row>
    <row r="656" spans="12:12" ht="14.25" hidden="1">
      <c r="L656" s="61"/>
    </row>
    <row r="657" spans="12:12" ht="14.25" hidden="1">
      <c r="L657" s="61"/>
    </row>
    <row r="658" spans="12:12" ht="14.25" hidden="1">
      <c r="L658" s="61"/>
    </row>
    <row r="659" spans="12:12" ht="14.25" hidden="1">
      <c r="L659" s="61"/>
    </row>
    <row r="660" spans="12:12" ht="14.25" hidden="1">
      <c r="L660" s="61"/>
    </row>
    <row r="661" spans="12:12" ht="14.25" hidden="1">
      <c r="L661" s="61"/>
    </row>
    <row r="662" spans="12:12" ht="14.25" hidden="1">
      <c r="L662" s="61"/>
    </row>
    <row r="663" spans="12:12" ht="14.25" hidden="1">
      <c r="L663" s="61"/>
    </row>
    <row r="664" spans="12:12" ht="14.25" hidden="1">
      <c r="L664" s="61"/>
    </row>
    <row r="665" spans="12:12" ht="14.25" hidden="1">
      <c r="L665" s="61"/>
    </row>
    <row r="666" spans="12:12" ht="14.25" hidden="1">
      <c r="L666" s="61"/>
    </row>
    <row r="667" spans="12:12" ht="14.25" hidden="1">
      <c r="L667" s="61"/>
    </row>
    <row r="668" spans="12:12" ht="14.25" hidden="1">
      <c r="L668" s="61"/>
    </row>
    <row r="669" spans="12:12" ht="14.25" hidden="1">
      <c r="L669" s="61"/>
    </row>
    <row r="670" spans="12:12" ht="14.25" hidden="1">
      <c r="L670" s="61"/>
    </row>
    <row r="671" spans="12:12" ht="14.25" hidden="1">
      <c r="L671" s="61"/>
    </row>
    <row r="672" spans="12:12" ht="14.25" hidden="1">
      <c r="L672" s="61"/>
    </row>
    <row r="673" spans="12:12" ht="14.25" hidden="1">
      <c r="L673" s="61"/>
    </row>
    <row r="674" spans="12:12" ht="14.25" hidden="1">
      <c r="L674" s="61"/>
    </row>
    <row r="675" spans="12:12" ht="14.25" hidden="1">
      <c r="L675" s="61"/>
    </row>
    <row r="676" spans="12:12" ht="14.25" hidden="1">
      <c r="L676" s="61"/>
    </row>
    <row r="677" spans="12:12" ht="14.25" hidden="1">
      <c r="L677" s="61"/>
    </row>
    <row r="678" spans="12:12" ht="14.25" hidden="1">
      <c r="L678" s="61"/>
    </row>
    <row r="679" spans="12:12" ht="14.25" hidden="1">
      <c r="L679" s="61"/>
    </row>
    <row r="680" spans="12:12" ht="14.25" hidden="1">
      <c r="L680" s="61"/>
    </row>
    <row r="681" spans="12:12" ht="14.25" hidden="1">
      <c r="L681" s="61"/>
    </row>
    <row r="682" spans="12:12" ht="14.25" hidden="1">
      <c r="L682" s="61"/>
    </row>
    <row r="683" spans="12:12" ht="14.25" hidden="1">
      <c r="L683" s="61"/>
    </row>
    <row r="684" spans="12:12" ht="14.25" hidden="1">
      <c r="L684" s="61"/>
    </row>
    <row r="685" spans="12:12" ht="14.25" hidden="1">
      <c r="L685" s="61"/>
    </row>
    <row r="686" spans="12:12" ht="14.25" hidden="1">
      <c r="L686" s="61"/>
    </row>
    <row r="687" spans="12:12" ht="14.25" hidden="1">
      <c r="L687" s="61"/>
    </row>
    <row r="688" spans="12:12" ht="14.25" hidden="1">
      <c r="L688" s="61"/>
    </row>
    <row r="689" spans="12:12" ht="14.25" hidden="1">
      <c r="L689" s="61"/>
    </row>
    <row r="690" spans="12:12" ht="14.25" hidden="1">
      <c r="L690" s="61"/>
    </row>
    <row r="691" spans="12:12" ht="14.25" hidden="1">
      <c r="L691" s="61"/>
    </row>
    <row r="692" spans="12:12" ht="14.25" hidden="1">
      <c r="L692" s="61"/>
    </row>
    <row r="693" spans="12:12" ht="14.25" hidden="1">
      <c r="L693" s="61"/>
    </row>
    <row r="694" spans="12:12" ht="14.25" hidden="1">
      <c r="L694" s="61"/>
    </row>
    <row r="695" spans="12:12" ht="14.25" hidden="1">
      <c r="L695" s="61"/>
    </row>
    <row r="696" spans="12:12" ht="14.25" hidden="1">
      <c r="L696" s="61"/>
    </row>
    <row r="697" spans="12:12" ht="14.25" hidden="1">
      <c r="L697" s="61"/>
    </row>
    <row r="698" spans="12:12" ht="14.25" hidden="1">
      <c r="L698" s="61"/>
    </row>
    <row r="699" spans="12:12" ht="14.25" hidden="1">
      <c r="L699" s="61"/>
    </row>
    <row r="700" spans="12:12" ht="14.25" hidden="1">
      <c r="L700" s="61"/>
    </row>
    <row r="701" spans="12:12" ht="14.25" hidden="1">
      <c r="L701" s="61"/>
    </row>
    <row r="702" spans="12:12" ht="14.25" hidden="1">
      <c r="L702" s="61"/>
    </row>
    <row r="703" spans="12:12" ht="14.25" hidden="1">
      <c r="L703" s="61"/>
    </row>
    <row r="704" spans="12:12" ht="14.25" hidden="1">
      <c r="L704" s="61"/>
    </row>
    <row r="705" spans="12:12" ht="14.25" hidden="1">
      <c r="L705" s="61"/>
    </row>
    <row r="706" spans="12:12" ht="14.25" hidden="1">
      <c r="L706" s="61"/>
    </row>
    <row r="707" spans="12:12" ht="14.25" hidden="1">
      <c r="L707" s="61"/>
    </row>
    <row r="708" spans="12:12" ht="14.25" hidden="1">
      <c r="L708" s="61"/>
    </row>
    <row r="709" spans="12:12" ht="14.25" hidden="1">
      <c r="L709" s="61"/>
    </row>
    <row r="710" spans="12:12" ht="14.25" hidden="1">
      <c r="L710" s="61"/>
    </row>
    <row r="711" spans="12:12" ht="14.25" hidden="1">
      <c r="L711" s="61"/>
    </row>
    <row r="712" spans="12:12" ht="14.25" hidden="1">
      <c r="L712" s="61"/>
    </row>
    <row r="713" spans="12:12" ht="14.25" hidden="1">
      <c r="L713" s="61"/>
    </row>
    <row r="714" spans="12:12" ht="14.25" hidden="1">
      <c r="L714" s="61"/>
    </row>
    <row r="715" spans="12:12" ht="14.25" hidden="1">
      <c r="L715" s="61"/>
    </row>
    <row r="716" spans="12:12" ht="14.25" hidden="1">
      <c r="L716" s="61"/>
    </row>
    <row r="717" spans="12:12" ht="14.25" hidden="1">
      <c r="L717" s="61"/>
    </row>
    <row r="718" spans="12:12" ht="14.25" hidden="1">
      <c r="L718" s="61"/>
    </row>
    <row r="719" spans="12:12" ht="14.25" hidden="1">
      <c r="L719" s="61"/>
    </row>
    <row r="720" spans="12:12" ht="14.25" hidden="1">
      <c r="L720" s="61"/>
    </row>
    <row r="721" spans="12:12" ht="14.25" hidden="1">
      <c r="L721" s="61"/>
    </row>
    <row r="722" spans="12:12" ht="14.25" hidden="1">
      <c r="L722" s="61"/>
    </row>
    <row r="723" spans="12:12" ht="14.25" hidden="1">
      <c r="L723" s="61"/>
    </row>
    <row r="724" spans="12:12" ht="14.25" hidden="1">
      <c r="L724" s="61"/>
    </row>
    <row r="725" spans="12:12" ht="14.25" hidden="1">
      <c r="L725" s="61"/>
    </row>
    <row r="726" spans="12:12" ht="14.25" hidden="1">
      <c r="L726" s="61"/>
    </row>
    <row r="727" spans="12:12" ht="14.25" hidden="1">
      <c r="L727" s="61"/>
    </row>
    <row r="728" spans="12:12" ht="14.25" hidden="1">
      <c r="L728" s="61"/>
    </row>
    <row r="729" spans="12:12" ht="14.25" hidden="1">
      <c r="L729" s="61"/>
    </row>
    <row r="730" spans="12:12" ht="14.25" hidden="1">
      <c r="L730" s="61"/>
    </row>
    <row r="731" spans="12:12" ht="14.25" hidden="1">
      <c r="L731" s="61"/>
    </row>
    <row r="732" spans="12:12" ht="14.25" hidden="1">
      <c r="L732" s="61"/>
    </row>
    <row r="733" spans="12:12" ht="14.25" hidden="1">
      <c r="L733" s="61"/>
    </row>
    <row r="734" spans="12:12" ht="14.25" hidden="1">
      <c r="L734" s="61"/>
    </row>
    <row r="735" spans="12:12" ht="14.25" hidden="1">
      <c r="L735" s="61"/>
    </row>
    <row r="736" spans="12:12" ht="14.25" hidden="1">
      <c r="L736" s="61"/>
    </row>
    <row r="737" spans="12:12" ht="14.25" hidden="1">
      <c r="L737" s="61"/>
    </row>
    <row r="738" spans="12:12" ht="14.25" hidden="1">
      <c r="L738" s="61"/>
    </row>
    <row r="739" spans="12:12" ht="14.25" hidden="1">
      <c r="L739" s="61"/>
    </row>
    <row r="740" spans="12:12" ht="14.25" hidden="1">
      <c r="L740" s="61"/>
    </row>
    <row r="741" spans="12:12" ht="14.25" hidden="1">
      <c r="L741" s="61"/>
    </row>
    <row r="742" spans="12:12" ht="14.25" hidden="1">
      <c r="L742" s="61"/>
    </row>
    <row r="743" spans="12:12" ht="14.25" hidden="1">
      <c r="L743" s="61"/>
    </row>
    <row r="744" spans="12:12" ht="14.25" hidden="1">
      <c r="L744" s="61"/>
    </row>
    <row r="745" spans="12:12" ht="14.25" hidden="1">
      <c r="L745" s="61"/>
    </row>
    <row r="746" spans="12:12" ht="14.25" hidden="1">
      <c r="L746" s="61"/>
    </row>
    <row r="747" spans="12:12" ht="14.25" hidden="1">
      <c r="L747" s="61"/>
    </row>
    <row r="748" spans="12:12" ht="14.25" hidden="1">
      <c r="L748" s="61"/>
    </row>
    <row r="749" spans="12:12" ht="14.25" hidden="1">
      <c r="L749" s="61"/>
    </row>
    <row r="750" spans="12:12" ht="14.25" hidden="1">
      <c r="L750" s="61"/>
    </row>
    <row r="751" spans="12:12" ht="14.25" hidden="1">
      <c r="L751" s="61"/>
    </row>
    <row r="752" spans="12:12" ht="14.25" hidden="1">
      <c r="L752" s="61"/>
    </row>
    <row r="753" spans="12:12" ht="14.25" hidden="1">
      <c r="L753" s="61"/>
    </row>
    <row r="754" spans="12:12" ht="14.25" hidden="1">
      <c r="L754" s="61"/>
    </row>
    <row r="755" spans="12:12" ht="14.25" hidden="1">
      <c r="L755" s="61"/>
    </row>
    <row r="756" spans="12:12" ht="14.25" hidden="1">
      <c r="L756" s="61"/>
    </row>
    <row r="757" spans="12:12" ht="14.25" hidden="1">
      <c r="L757" s="61"/>
    </row>
    <row r="758" spans="12:12" ht="14.25" hidden="1">
      <c r="L758" s="61"/>
    </row>
    <row r="759" spans="12:12" ht="14.25" hidden="1">
      <c r="L759" s="61"/>
    </row>
    <row r="760" spans="12:12" ht="14.25" hidden="1">
      <c r="L760" s="61"/>
    </row>
    <row r="761" spans="12:12" ht="14.25" hidden="1">
      <c r="L761" s="61"/>
    </row>
    <row r="762" spans="12:12" ht="14.25" hidden="1">
      <c r="L762" s="61"/>
    </row>
    <row r="763" spans="12:12" ht="14.25" hidden="1">
      <c r="L763" s="61"/>
    </row>
    <row r="764" spans="12:12" ht="14.25" hidden="1">
      <c r="L764" s="61"/>
    </row>
    <row r="765" spans="12:12" ht="14.25" hidden="1">
      <c r="L765" s="61"/>
    </row>
    <row r="766" spans="12:12" ht="14.25" hidden="1">
      <c r="L766" s="61"/>
    </row>
    <row r="767" spans="12:12" ht="14.25" hidden="1">
      <c r="L767" s="61"/>
    </row>
    <row r="768" spans="12:12" ht="14.25" hidden="1">
      <c r="L768" s="61"/>
    </row>
    <row r="769" spans="12:12" ht="14.25" hidden="1">
      <c r="L769" s="61"/>
    </row>
    <row r="770" spans="12:12" ht="14.25" hidden="1">
      <c r="L770" s="61"/>
    </row>
    <row r="771" spans="12:12" ht="14.25" hidden="1">
      <c r="L771" s="61"/>
    </row>
    <row r="772" spans="12:12" ht="14.25" hidden="1">
      <c r="L772" s="61"/>
    </row>
    <row r="773" spans="12:12" ht="14.25" hidden="1">
      <c r="L773" s="61"/>
    </row>
    <row r="774" spans="12:12" ht="14.25" hidden="1">
      <c r="L774" s="61"/>
    </row>
    <row r="775" spans="12:12" ht="14.25" hidden="1">
      <c r="L775" s="61"/>
    </row>
    <row r="776" spans="12:12" ht="14.25" hidden="1">
      <c r="L776" s="61"/>
    </row>
    <row r="777" spans="12:12" ht="14.25" hidden="1">
      <c r="L777" s="61"/>
    </row>
    <row r="778" spans="12:12" ht="14.25" hidden="1">
      <c r="L778" s="61"/>
    </row>
    <row r="779" spans="12:12" ht="14.25" hidden="1">
      <c r="L779" s="61"/>
    </row>
    <row r="780" spans="12:12" ht="14.25" hidden="1">
      <c r="L780" s="61"/>
    </row>
    <row r="781" spans="12:12" ht="14.25" hidden="1">
      <c r="L781" s="61"/>
    </row>
    <row r="782" spans="12:12" ht="14.25" hidden="1">
      <c r="L782" s="61"/>
    </row>
    <row r="783" spans="12:12" ht="14.25" hidden="1">
      <c r="L783" s="61"/>
    </row>
    <row r="784" spans="12:12" ht="14.25" hidden="1">
      <c r="L784" s="61"/>
    </row>
    <row r="785" spans="12:12" ht="14.25" hidden="1">
      <c r="L785" s="61"/>
    </row>
    <row r="786" spans="12:12" ht="14.25" hidden="1">
      <c r="L786" s="61"/>
    </row>
    <row r="787" spans="12:12" ht="14.25" hidden="1">
      <c r="L787" s="61"/>
    </row>
    <row r="788" spans="12:12" ht="14.25" hidden="1">
      <c r="L788" s="61"/>
    </row>
    <row r="789" spans="12:12" ht="14.25" hidden="1">
      <c r="L789" s="61"/>
    </row>
    <row r="790" spans="12:12" ht="14.25" hidden="1">
      <c r="L790" s="61"/>
    </row>
    <row r="791" spans="12:12" ht="14.25" hidden="1">
      <c r="L791" s="61"/>
    </row>
    <row r="792" spans="12:12" ht="14.25" hidden="1">
      <c r="L792" s="61"/>
    </row>
    <row r="793" spans="12:12" ht="14.25" hidden="1">
      <c r="L793" s="61"/>
    </row>
    <row r="794" spans="12:12" ht="14.25" hidden="1">
      <c r="L794" s="61"/>
    </row>
    <row r="795" spans="12:12" ht="14.25" hidden="1">
      <c r="L795" s="61"/>
    </row>
    <row r="796" spans="12:12" ht="14.25" hidden="1">
      <c r="L796" s="61"/>
    </row>
    <row r="797" spans="12:12" ht="14.25" hidden="1">
      <c r="L797" s="61"/>
    </row>
    <row r="798" spans="12:12" ht="14.25" hidden="1">
      <c r="L798" s="61"/>
    </row>
    <row r="799" spans="12:12" ht="14.25" hidden="1">
      <c r="L799" s="61"/>
    </row>
    <row r="800" spans="12:12" ht="14.25" hidden="1">
      <c r="L800" s="61"/>
    </row>
    <row r="801" spans="12:12" ht="14.25" hidden="1">
      <c r="L801" s="61"/>
    </row>
    <row r="802" spans="12:12" ht="14.25" hidden="1">
      <c r="L802" s="61"/>
    </row>
    <row r="803" spans="12:12" ht="14.25" hidden="1">
      <c r="L803" s="61"/>
    </row>
    <row r="804" spans="12:12" ht="14.25" hidden="1">
      <c r="L804" s="61"/>
    </row>
    <row r="805" spans="12:12" ht="14.25" hidden="1">
      <c r="L805" s="61"/>
    </row>
    <row r="806" spans="12:12" ht="14.25" hidden="1">
      <c r="L806" s="61"/>
    </row>
    <row r="807" spans="12:12" ht="14.25" hidden="1">
      <c r="L807" s="61"/>
    </row>
    <row r="808" spans="12:12" ht="14.25" hidden="1">
      <c r="L808" s="61"/>
    </row>
    <row r="809" spans="12:12" ht="14.25" hidden="1">
      <c r="L809" s="61"/>
    </row>
    <row r="810" spans="12:12" ht="14.25" hidden="1">
      <c r="L810" s="61"/>
    </row>
    <row r="811" spans="12:12" ht="14.25" hidden="1">
      <c r="L811" s="61"/>
    </row>
    <row r="812" spans="12:12" ht="14.25" hidden="1">
      <c r="L812" s="61"/>
    </row>
    <row r="813" spans="12:12" ht="14.25" hidden="1">
      <c r="L813" s="61"/>
    </row>
    <row r="814" spans="12:12" ht="14.25" hidden="1">
      <c r="L814" s="61"/>
    </row>
    <row r="815" spans="12:12" ht="14.25" hidden="1">
      <c r="L815" s="61"/>
    </row>
    <row r="816" spans="12:12" ht="14.25" hidden="1">
      <c r="L816" s="61"/>
    </row>
    <row r="817" spans="12:12" ht="14.25" hidden="1">
      <c r="L817" s="61"/>
    </row>
    <row r="818" spans="12:12" ht="14.25" hidden="1">
      <c r="L818" s="61"/>
    </row>
    <row r="819" spans="12:12" ht="14.25" hidden="1">
      <c r="L819" s="61"/>
    </row>
    <row r="820" spans="12:12" ht="14.25" hidden="1">
      <c r="L820" s="61"/>
    </row>
    <row r="821" spans="12:12" ht="14.25" hidden="1">
      <c r="L821" s="61"/>
    </row>
    <row r="822" spans="12:12" ht="14.25" hidden="1">
      <c r="L822" s="61"/>
    </row>
    <row r="823" spans="12:12" ht="14.25" hidden="1">
      <c r="L823" s="61"/>
    </row>
    <row r="824" spans="12:12" ht="14.25" hidden="1">
      <c r="L824" s="61"/>
    </row>
    <row r="825" spans="12:12" ht="14.25" hidden="1">
      <c r="L825" s="61"/>
    </row>
    <row r="826" spans="12:12" ht="14.25" hidden="1">
      <c r="L826" s="61"/>
    </row>
    <row r="827" spans="12:12" ht="14.25" hidden="1">
      <c r="L827" s="61"/>
    </row>
    <row r="828" spans="12:12" ht="14.25" hidden="1">
      <c r="L828" s="61"/>
    </row>
    <row r="829" spans="12:12" ht="14.25" hidden="1">
      <c r="L829" s="61"/>
    </row>
    <row r="830" spans="12:12" ht="14.25" hidden="1">
      <c r="L830" s="61"/>
    </row>
    <row r="831" spans="12:12" ht="14.25" hidden="1">
      <c r="L831" s="61"/>
    </row>
    <row r="832" spans="12:12" ht="14.25" hidden="1">
      <c r="L832" s="61"/>
    </row>
    <row r="833" spans="12:12" ht="14.25" hidden="1">
      <c r="L833" s="61"/>
    </row>
    <row r="834" spans="12:12" ht="14.25" hidden="1">
      <c r="L834" s="61"/>
    </row>
    <row r="835" spans="12:12" ht="14.25" hidden="1">
      <c r="L835" s="61"/>
    </row>
    <row r="836" spans="12:12" ht="14.25" hidden="1">
      <c r="L836" s="61"/>
    </row>
    <row r="837" spans="12:12" ht="14.25" hidden="1">
      <c r="L837" s="61"/>
    </row>
    <row r="838" spans="12:12" ht="14.25" hidden="1">
      <c r="L838" s="61"/>
    </row>
    <row r="839" spans="12:12" ht="14.25" hidden="1">
      <c r="L839" s="61"/>
    </row>
    <row r="840" spans="12:12" ht="14.25" hidden="1">
      <c r="L840" s="61"/>
    </row>
    <row r="841" spans="12:12" ht="14.25" hidden="1">
      <c r="L841" s="61"/>
    </row>
    <row r="842" spans="12:12" ht="14.25" hidden="1">
      <c r="L842" s="61"/>
    </row>
    <row r="843" spans="12:12" ht="14.25" hidden="1">
      <c r="L843" s="61"/>
    </row>
    <row r="844" spans="12:12" ht="14.25" hidden="1">
      <c r="L844" s="61"/>
    </row>
    <row r="845" spans="12:12" ht="14.25" hidden="1">
      <c r="L845" s="61"/>
    </row>
    <row r="846" spans="12:12" ht="14.25" hidden="1">
      <c r="L846" s="61"/>
    </row>
    <row r="847" spans="12:12" ht="14.25" hidden="1">
      <c r="L847" s="61"/>
    </row>
    <row r="848" spans="12:12" ht="14.25" hidden="1">
      <c r="L848" s="61"/>
    </row>
    <row r="849" spans="12:12" ht="14.25" hidden="1">
      <c r="L849" s="61"/>
    </row>
    <row r="850" spans="12:12" ht="14.25" hidden="1">
      <c r="L850" s="61"/>
    </row>
    <row r="851" spans="12:12" ht="14.25" hidden="1">
      <c r="L851" s="61"/>
    </row>
    <row r="852" spans="12:12" ht="14.25" hidden="1">
      <c r="L852" s="61"/>
    </row>
    <row r="853" spans="12:12" ht="14.25" hidden="1">
      <c r="L853" s="61"/>
    </row>
    <row r="854" spans="12:12" ht="14.25" hidden="1">
      <c r="L854" s="61"/>
    </row>
    <row r="855" spans="12:12" ht="14.25" hidden="1">
      <c r="L855" s="61"/>
    </row>
    <row r="856" spans="12:12" ht="14.25" hidden="1">
      <c r="L856" s="61"/>
    </row>
    <row r="857" spans="12:12" ht="14.25" hidden="1">
      <c r="L857" s="61"/>
    </row>
    <row r="858" spans="12:12" ht="14.25" hidden="1">
      <c r="L858" s="61"/>
    </row>
    <row r="859" spans="12:12" ht="14.25" hidden="1">
      <c r="L859" s="61"/>
    </row>
    <row r="860" spans="12:12" ht="14.25" hidden="1">
      <c r="L860" s="61"/>
    </row>
    <row r="861" spans="12:12" ht="14.25" hidden="1">
      <c r="L861" s="61"/>
    </row>
    <row r="862" spans="12:12" ht="14.25" hidden="1">
      <c r="L862" s="61"/>
    </row>
    <row r="863" spans="12:12" ht="14.25" hidden="1">
      <c r="L863" s="61"/>
    </row>
    <row r="864" spans="12:12" ht="14.25" hidden="1">
      <c r="L864" s="61"/>
    </row>
    <row r="865" spans="12:12" ht="14.25" hidden="1">
      <c r="L865" s="61"/>
    </row>
    <row r="866" spans="12:12" ht="14.25" hidden="1">
      <c r="L866" s="61"/>
    </row>
    <row r="867" spans="12:12" ht="14.25" hidden="1">
      <c r="L867" s="61"/>
    </row>
    <row r="868" spans="12:12" ht="14.25" hidden="1">
      <c r="L868" s="61"/>
    </row>
    <row r="869" spans="12:12" ht="14.25" hidden="1">
      <c r="L869" s="61"/>
    </row>
    <row r="870" spans="12:12" ht="14.25" hidden="1">
      <c r="L870" s="61"/>
    </row>
    <row r="871" spans="12:12" ht="14.25" hidden="1">
      <c r="L871" s="61"/>
    </row>
    <row r="872" spans="12:12" ht="14.25" hidden="1">
      <c r="L872" s="61"/>
    </row>
    <row r="873" spans="12:12" ht="14.25" hidden="1">
      <c r="L873" s="61"/>
    </row>
    <row r="874" spans="12:12" ht="14.25" hidden="1">
      <c r="L874" s="61"/>
    </row>
    <row r="875" spans="12:12" ht="14.25" hidden="1">
      <c r="L875" s="61"/>
    </row>
    <row r="876" spans="12:12" ht="14.25" hidden="1">
      <c r="L876" s="61"/>
    </row>
    <row r="877" spans="12:12" ht="14.25" hidden="1">
      <c r="L877" s="61"/>
    </row>
    <row r="878" spans="12:12" ht="14.25" hidden="1">
      <c r="L878" s="61"/>
    </row>
    <row r="879" spans="12:12" ht="14.25" hidden="1">
      <c r="L879" s="61"/>
    </row>
    <row r="880" spans="12:12" ht="14.25" hidden="1">
      <c r="L880" s="61"/>
    </row>
    <row r="881" spans="12:12" ht="14.25" hidden="1">
      <c r="L881" s="61"/>
    </row>
    <row r="882" spans="12:12" ht="14.25" hidden="1">
      <c r="L882" s="61"/>
    </row>
    <row r="883" spans="12:12" ht="14.25" hidden="1">
      <c r="L883" s="61"/>
    </row>
    <row r="884" spans="12:12" ht="14.25" hidden="1">
      <c r="L884" s="61"/>
    </row>
    <row r="885" spans="12:12" ht="14.25" hidden="1">
      <c r="L885" s="61"/>
    </row>
    <row r="886" spans="12:12" ht="14.25" hidden="1">
      <c r="L886" s="61"/>
    </row>
    <row r="887" spans="12:12" ht="14.25" hidden="1">
      <c r="L887" s="61"/>
    </row>
    <row r="888" spans="12:12" ht="14.25" hidden="1">
      <c r="L888" s="61"/>
    </row>
    <row r="889" spans="12:12" ht="14.25" hidden="1">
      <c r="L889" s="61"/>
    </row>
    <row r="890" spans="12:12" ht="14.25" hidden="1">
      <c r="L890" s="61"/>
    </row>
    <row r="891" spans="12:12" ht="14.25" hidden="1">
      <c r="L891" s="61"/>
    </row>
    <row r="892" spans="12:12" ht="14.25" hidden="1">
      <c r="L892" s="61"/>
    </row>
    <row r="893" spans="12:12" ht="14.25" hidden="1">
      <c r="L893" s="61"/>
    </row>
    <row r="894" spans="12:12" ht="14.25" hidden="1">
      <c r="L894" s="61"/>
    </row>
    <row r="895" spans="12:12" ht="14.25" hidden="1">
      <c r="L895" s="61"/>
    </row>
    <row r="896" spans="12:12" ht="14.25" hidden="1">
      <c r="L896" s="61"/>
    </row>
    <row r="897" spans="12:12" ht="14.25" hidden="1">
      <c r="L897" s="61"/>
    </row>
    <row r="898" spans="12:12" ht="14.25" hidden="1">
      <c r="L898" s="61"/>
    </row>
    <row r="899" spans="12:12" ht="14.25" hidden="1">
      <c r="L899" s="61"/>
    </row>
    <row r="900" spans="12:12" ht="14.25" hidden="1">
      <c r="L900" s="61"/>
    </row>
    <row r="901" spans="12:12" ht="14.25" hidden="1">
      <c r="L901" s="61"/>
    </row>
    <row r="902" spans="12:12" ht="14.25" hidden="1">
      <c r="L902" s="61"/>
    </row>
    <row r="903" spans="12:12" ht="14.25" hidden="1">
      <c r="L903" s="61"/>
    </row>
    <row r="904" spans="12:12" ht="14.25" hidden="1">
      <c r="L904" s="61"/>
    </row>
    <row r="905" spans="12:12" ht="14.25" hidden="1">
      <c r="L905" s="61"/>
    </row>
    <row r="906" spans="12:12" ht="14.25" hidden="1">
      <c r="L906" s="61"/>
    </row>
    <row r="907" spans="12:12" ht="14.25" hidden="1">
      <c r="L907" s="61"/>
    </row>
    <row r="908" spans="12:12" ht="14.25" hidden="1">
      <c r="L908" s="61"/>
    </row>
    <row r="909" spans="12:12" ht="14.25" hidden="1">
      <c r="L909" s="61"/>
    </row>
    <row r="910" spans="12:12" ht="14.25" hidden="1">
      <c r="L910" s="61"/>
    </row>
    <row r="911" spans="12:12" ht="14.25" hidden="1">
      <c r="L911" s="61"/>
    </row>
    <row r="912" spans="12:12" ht="14.25" hidden="1">
      <c r="L912" s="61"/>
    </row>
    <row r="913" spans="12:12" ht="14.25" hidden="1">
      <c r="L913" s="61"/>
    </row>
    <row r="914" spans="12:12" ht="14.25" hidden="1">
      <c r="L914" s="61"/>
    </row>
    <row r="915" spans="12:12" ht="14.25" hidden="1">
      <c r="L915" s="61"/>
    </row>
    <row r="916" spans="12:12" ht="14.25" hidden="1">
      <c r="L916" s="61"/>
    </row>
    <row r="917" spans="12:12" ht="14.25" hidden="1">
      <c r="L917" s="61"/>
    </row>
    <row r="918" spans="12:12" ht="14.25" hidden="1">
      <c r="L918" s="61"/>
    </row>
    <row r="919" spans="12:12" ht="14.25" hidden="1">
      <c r="L919" s="61"/>
    </row>
    <row r="920" spans="12:12" ht="14.25" hidden="1">
      <c r="L920" s="61"/>
    </row>
    <row r="921" spans="12:12" ht="14.25" hidden="1">
      <c r="L921" s="61"/>
    </row>
    <row r="922" spans="12:12" ht="14.25" hidden="1">
      <c r="L922" s="61"/>
    </row>
    <row r="923" spans="12:12" ht="14.25" hidden="1">
      <c r="L923" s="61"/>
    </row>
    <row r="924" spans="12:12" ht="14.25" hidden="1">
      <c r="L924" s="61"/>
    </row>
    <row r="925" spans="12:12" ht="14.25" hidden="1">
      <c r="L925" s="61"/>
    </row>
    <row r="926" spans="12:12" ht="14.25" hidden="1">
      <c r="L926" s="61"/>
    </row>
    <row r="927" spans="12:12" ht="14.25" hidden="1">
      <c r="L927" s="61"/>
    </row>
    <row r="928" spans="12:12" ht="14.25" hidden="1">
      <c r="L928" s="61"/>
    </row>
    <row r="929" spans="12:12" ht="14.25" hidden="1">
      <c r="L929" s="61"/>
    </row>
    <row r="930" spans="12:12" ht="14.25" hidden="1">
      <c r="L930" s="61"/>
    </row>
    <row r="931" spans="12:12" ht="14.25" hidden="1">
      <c r="L931" s="61"/>
    </row>
    <row r="932" spans="12:12" ht="14.25" hidden="1">
      <c r="L932" s="61"/>
    </row>
    <row r="933" spans="12:12" ht="14.25" hidden="1">
      <c r="L933" s="61"/>
    </row>
    <row r="934" spans="12:12" ht="14.25" hidden="1">
      <c r="L934" s="61"/>
    </row>
    <row r="935" spans="12:12" ht="14.25" hidden="1">
      <c r="L935" s="61"/>
    </row>
    <row r="936" spans="12:12" ht="14.25" hidden="1">
      <c r="L936" s="61"/>
    </row>
    <row r="937" spans="12:12" ht="14.25" hidden="1">
      <c r="L937" s="61"/>
    </row>
    <row r="938" spans="12:12" ht="14.25" hidden="1">
      <c r="L938" s="61"/>
    </row>
    <row r="939" spans="12:12" ht="14.25" hidden="1">
      <c r="L939" s="61"/>
    </row>
    <row r="940" spans="12:12" ht="14.25" hidden="1">
      <c r="L940" s="61"/>
    </row>
    <row r="941" spans="12:12" ht="14.25" hidden="1">
      <c r="L941" s="61"/>
    </row>
    <row r="942" spans="12:12" ht="14.25" hidden="1">
      <c r="L942" s="61"/>
    </row>
    <row r="943" spans="12:12" ht="14.25" hidden="1">
      <c r="L943" s="61"/>
    </row>
    <row r="944" spans="12:12" ht="14.25" hidden="1">
      <c r="L944" s="61"/>
    </row>
    <row r="945" spans="12:12" ht="14.25" hidden="1">
      <c r="L945" s="61"/>
    </row>
    <row r="946" spans="12:12" ht="14.25" hidden="1">
      <c r="L946" s="61"/>
    </row>
    <row r="947" spans="12:12" ht="14.25" hidden="1">
      <c r="L947" s="61"/>
    </row>
    <row r="948" spans="12:12" ht="14.25" hidden="1">
      <c r="L948" s="61"/>
    </row>
    <row r="949" spans="12:12" ht="14.25" hidden="1">
      <c r="L949" s="61"/>
    </row>
    <row r="950" spans="12:12" ht="14.25" hidden="1">
      <c r="L950" s="61"/>
    </row>
    <row r="951" spans="12:12" ht="14.25" hidden="1">
      <c r="L951" s="61"/>
    </row>
    <row r="952" spans="12:12" ht="14.25" hidden="1">
      <c r="L952" s="61"/>
    </row>
    <row r="953" spans="12:12" ht="14.25" hidden="1">
      <c r="L953" s="61"/>
    </row>
    <row r="954" spans="12:12" ht="14.25" hidden="1">
      <c r="L954" s="61"/>
    </row>
    <row r="955" spans="12:12" ht="14.25" hidden="1">
      <c r="L955" s="61"/>
    </row>
    <row r="956" spans="12:12" ht="14.25" hidden="1">
      <c r="L956" s="61"/>
    </row>
    <row r="957" spans="12:12" ht="14.25" hidden="1">
      <c r="L957" s="61"/>
    </row>
    <row r="958" spans="12:12" ht="14.25" hidden="1">
      <c r="L958" s="61"/>
    </row>
    <row r="959" spans="12:12" ht="14.25" hidden="1">
      <c r="L959" s="61"/>
    </row>
    <row r="960" spans="12:12" ht="14.25" hidden="1">
      <c r="L960" s="61"/>
    </row>
    <row r="961" spans="12:12" ht="14.25" hidden="1">
      <c r="L961" s="61"/>
    </row>
    <row r="962" spans="12:12" ht="14.25" hidden="1">
      <c r="L962" s="61"/>
    </row>
    <row r="963" spans="12:12" ht="14.25" hidden="1">
      <c r="L963" s="61"/>
    </row>
    <row r="964" spans="12:12" ht="14.25" hidden="1">
      <c r="L964" s="61"/>
    </row>
    <row r="965" spans="12:12" ht="14.25" hidden="1">
      <c r="L965" s="61"/>
    </row>
    <row r="966" spans="12:12" ht="14.25" hidden="1">
      <c r="L966" s="61"/>
    </row>
    <row r="967" spans="12:12" ht="14.25" hidden="1">
      <c r="L967" s="61"/>
    </row>
    <row r="968" spans="12:12" ht="14.25" hidden="1">
      <c r="L968" s="61"/>
    </row>
    <row r="969" spans="12:12" ht="14.25" hidden="1">
      <c r="L969" s="61"/>
    </row>
    <row r="970" spans="12:12" ht="14.25" hidden="1">
      <c r="L970" s="61"/>
    </row>
    <row r="971" spans="12:12" ht="14.25" hidden="1">
      <c r="L971" s="61"/>
    </row>
    <row r="972" spans="12:12" ht="14.25" hidden="1">
      <c r="L972" s="61"/>
    </row>
    <row r="973" spans="12:12" ht="14.25" hidden="1">
      <c r="L973" s="61"/>
    </row>
    <row r="974" spans="12:12" ht="14.25" hidden="1">
      <c r="L974" s="61"/>
    </row>
    <row r="975" spans="12:12" ht="14.25" hidden="1">
      <c r="L975" s="61"/>
    </row>
    <row r="976" spans="12:12" ht="14.25" hidden="1">
      <c r="L976" s="61"/>
    </row>
    <row r="977" spans="12:12" ht="14.25" hidden="1">
      <c r="L977" s="61"/>
    </row>
    <row r="978" spans="12:12" ht="14.25" hidden="1">
      <c r="L978" s="61"/>
    </row>
    <row r="979" spans="12:12" ht="14.25" hidden="1">
      <c r="L979" s="61"/>
    </row>
    <row r="980" spans="12:12" ht="14.25" hidden="1">
      <c r="L980" s="61"/>
    </row>
    <row r="981" spans="12:12" ht="14.25" hidden="1">
      <c r="L981" s="61"/>
    </row>
    <row r="982" spans="12:12" ht="14.25" hidden="1">
      <c r="L982" s="61"/>
    </row>
    <row r="983" spans="12:12" ht="14.25" hidden="1">
      <c r="L983" s="61"/>
    </row>
    <row r="984" spans="12:12" ht="14.25" hidden="1">
      <c r="L984" s="61"/>
    </row>
    <row r="985" spans="12:12" ht="14.25" hidden="1">
      <c r="L985" s="61"/>
    </row>
    <row r="986" spans="12:12" ht="14.25" hidden="1">
      <c r="L986" s="61"/>
    </row>
    <row r="987" spans="12:12" ht="14.25" hidden="1">
      <c r="L987" s="61"/>
    </row>
    <row r="988" spans="12:12" ht="14.25" hidden="1">
      <c r="L988" s="61"/>
    </row>
    <row r="989" spans="12:12" ht="14.25" hidden="1">
      <c r="L989" s="61"/>
    </row>
    <row r="990" spans="12:12" ht="14.25" hidden="1">
      <c r="L990" s="61"/>
    </row>
    <row r="991" spans="12:12" ht="14.25" hidden="1">
      <c r="L991" s="61"/>
    </row>
    <row r="992" spans="12:12" ht="14.25" hidden="1">
      <c r="L992" s="61"/>
    </row>
    <row r="993" spans="12:12" ht="14.25" hidden="1">
      <c r="L993" s="61"/>
    </row>
    <row r="994" spans="12:12" ht="14.25" hidden="1">
      <c r="L994" s="61"/>
    </row>
    <row r="995" spans="12:12" ht="14.25" hidden="1">
      <c r="L995" s="61"/>
    </row>
    <row r="996" spans="12:12" ht="14.25" hidden="1">
      <c r="L996" s="61"/>
    </row>
    <row r="997" spans="12:12" ht="14.25" hidden="1">
      <c r="L997" s="61"/>
    </row>
    <row r="998" spans="12:12" ht="14.25" hidden="1">
      <c r="L998" s="61"/>
    </row>
    <row r="999" spans="12:12" ht="14.25" hidden="1">
      <c r="L999" s="61"/>
    </row>
    <row r="1000" spans="12:12" ht="14.25" hidden="1">
      <c r="L1000" s="61"/>
    </row>
    <row r="1001" spans="12:12" ht="14.25" hidden="1">
      <c r="L1001" s="61"/>
    </row>
    <row r="1002" spans="12:12" ht="14.25" hidden="1">
      <c r="L1002" s="61"/>
    </row>
    <row r="1003" spans="12:12" ht="14.25" hidden="1">
      <c r="L1003" s="61"/>
    </row>
    <row r="1004" spans="12:12" ht="14.25" hidden="1">
      <c r="L1004" s="61"/>
    </row>
    <row r="1005" spans="12:12" ht="14.25" hidden="1">
      <c r="L1005" s="61"/>
    </row>
    <row r="1006" spans="12:12" ht="14.25" hidden="1">
      <c r="L1006" s="61"/>
    </row>
    <row r="1007" spans="12:12" ht="14.25" hidden="1">
      <c r="L1007" s="61"/>
    </row>
    <row r="1008" spans="12:12" ht="14.25" hidden="1">
      <c r="L1008" s="61"/>
    </row>
    <row r="1009" spans="12:12" ht="14.25" hidden="1">
      <c r="L1009" s="61"/>
    </row>
    <row r="1010" spans="12:12" ht="14.25" hidden="1">
      <c r="L1010" s="61"/>
    </row>
    <row r="1011" spans="12:12" ht="14.25" hidden="1">
      <c r="L1011" s="61"/>
    </row>
    <row r="1012" spans="12:12" ht="14.25" hidden="1">
      <c r="L1012" s="61"/>
    </row>
    <row r="1013" spans="12:12" ht="14.25" hidden="1">
      <c r="L1013" s="61"/>
    </row>
    <row r="1014" spans="12:12" ht="14.25" hidden="1">
      <c r="L1014" s="61"/>
    </row>
    <row r="1015" spans="12:12" ht="14.25" hidden="1">
      <c r="L1015" s="61"/>
    </row>
    <row r="1016" spans="12:12" ht="14.25" hidden="1">
      <c r="L1016" s="61"/>
    </row>
    <row r="1017" spans="12:12" ht="14.25" hidden="1">
      <c r="L1017" s="61"/>
    </row>
    <row r="1018" spans="12:12" ht="14.25" hidden="1">
      <c r="L1018" s="61"/>
    </row>
    <row r="1019" spans="12:12" ht="14.25" hidden="1">
      <c r="L1019" s="61"/>
    </row>
    <row r="1020" spans="12:12" ht="14.25" hidden="1">
      <c r="L1020" s="61"/>
    </row>
    <row r="1021" spans="12:12" ht="14.25" hidden="1">
      <c r="L1021" s="61"/>
    </row>
    <row r="1022" spans="12:12" ht="14.25" hidden="1">
      <c r="L1022" s="61"/>
    </row>
    <row r="1023" spans="12:12" ht="14.25" hidden="1">
      <c r="L1023" s="61"/>
    </row>
    <row r="1024" spans="12:12" ht="14.25" hidden="1">
      <c r="L1024" s="61"/>
    </row>
    <row r="1025" spans="12:12" ht="14.25" hidden="1">
      <c r="L1025" s="61"/>
    </row>
    <row r="1026" spans="12:12" ht="14.25" hidden="1">
      <c r="L1026" s="61"/>
    </row>
    <row r="1027" spans="12:12" ht="14.25" hidden="1">
      <c r="L1027" s="61"/>
    </row>
    <row r="1028" spans="12:12" ht="12.75" hidden="1" customHeight="1"/>
    <row r="1029" spans="12:12" ht="12.75" hidden="1" customHeight="1"/>
    <row r="1030" spans="12:12" ht="12.75" hidden="1" customHeight="1"/>
  </sheetData>
  <printOptions horizontalCentered="1" gridLines="1"/>
  <pageMargins left="0.70866141732283472" right="0.70866141732283472" top="0.74803149606299213" bottom="0.74803149606299213" header="0" footer="0"/>
  <pageSetup paperSize="9" scale="65" fitToHeight="0" pageOrder="overThenDown" orientation="landscape" cellComments="atEnd" r:id="rId1"/>
  <headerFooter>
    <oddHeader>&amp;LPlanning Document|&amp;C&amp;A</oddHeader>
    <oddFooter>&amp;LPage &amp;P of &amp;N</oddFooter>
  </headerFooter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H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25.140625" customWidth="1"/>
    <col min="3" max="5" width="12.5703125" customWidth="1"/>
  </cols>
  <sheetData>
    <row r="1" spans="1:8" ht="12.75" customHeight="1">
      <c r="A1" s="45" t="str">
        <f>'Project Team'!A1</f>
        <v>Last Name</v>
      </c>
      <c r="B1" s="45" t="str">
        <f>'Project Team'!B1</f>
        <v>First Name</v>
      </c>
      <c r="C1" s="46" t="s">
        <v>180</v>
      </c>
      <c r="D1" s="48"/>
      <c r="E1" s="49"/>
      <c r="F1" s="50"/>
      <c r="G1" s="52"/>
      <c r="H1" s="52"/>
    </row>
    <row r="2" spans="1:8" ht="12.75" customHeight="1">
      <c r="A2" s="55" t="str">
        <f>'Project Team'!A2</f>
        <v>Fritz</v>
      </c>
      <c r="B2" s="55" t="str">
        <f>'Project Team'!B2</f>
        <v>Josefina</v>
      </c>
      <c r="C2" s="58">
        <v>0</v>
      </c>
      <c r="D2" s="59"/>
      <c r="E2" s="81">
        <f>AVERAGE(C5:C10)</f>
        <v>5</v>
      </c>
      <c r="F2" s="82" t="str">
        <f>IF(STDEV(C5:C10) &gt; 0,"NOK", "OK")</f>
        <v>OK</v>
      </c>
      <c r="G2" s="64"/>
      <c r="H2" s="64"/>
    </row>
    <row r="3" spans="1:8" ht="12.75" customHeight="1">
      <c r="A3" s="67" t="str">
        <f>'Project Team'!A3</f>
        <v>Barriga Vasquez</v>
      </c>
      <c r="B3" s="67" t="str">
        <f>'Project Team'!B3</f>
        <v>Fernando</v>
      </c>
      <c r="C3" s="58">
        <v>0</v>
      </c>
      <c r="D3" s="68"/>
      <c r="E3" s="79"/>
      <c r="F3" s="79"/>
      <c r="G3" s="69"/>
      <c r="H3" s="69"/>
    </row>
    <row r="4" spans="1:8" ht="12.75" customHeight="1">
      <c r="A4" s="55" t="str">
        <f>'Project Team'!A4</f>
        <v>Sternberg</v>
      </c>
      <c r="B4" s="55" t="str">
        <f>'Project Team'!B4</f>
        <v>Fiona</v>
      </c>
      <c r="C4" s="58"/>
      <c r="D4" s="59"/>
      <c r="E4" s="79"/>
      <c r="F4" s="79"/>
      <c r="G4" s="64"/>
      <c r="H4" s="64"/>
    </row>
    <row r="5" spans="1:8" ht="12.75" customHeight="1">
      <c r="A5" s="67" t="str">
        <f>'Project Team'!A5</f>
        <v>Afzal Yousuf</v>
      </c>
      <c r="B5" s="67" t="str">
        <f>'Project Team'!B5</f>
        <v xml:space="preserve">Ali </v>
      </c>
      <c r="C5" s="58">
        <v>5</v>
      </c>
      <c r="D5" s="70"/>
      <c r="E5" s="70"/>
      <c r="F5" s="70"/>
      <c r="G5" s="69"/>
      <c r="H5" s="69"/>
    </row>
    <row r="6" spans="1:8" ht="12.75" customHeight="1">
      <c r="A6" s="55" t="str">
        <f>'Project Team'!A6</f>
        <v>Pohlitz</v>
      </c>
      <c r="B6" s="55" t="str">
        <f>'Project Team'!B6</f>
        <v>Paul</v>
      </c>
      <c r="C6" s="58">
        <v>5</v>
      </c>
      <c r="D6" s="71"/>
      <c r="E6" s="72">
        <v>0</v>
      </c>
      <c r="F6" s="73" t="s">
        <v>223</v>
      </c>
      <c r="G6" s="64"/>
      <c r="H6" s="64"/>
    </row>
    <row r="7" spans="1:8" ht="12.75" customHeight="1">
      <c r="A7" s="67" t="str">
        <f>'Project Team'!A7</f>
        <v>Rubins</v>
      </c>
      <c r="B7" s="67" t="str">
        <f>'Project Team'!B7</f>
        <v>Adrians</v>
      </c>
      <c r="C7" s="58">
        <v>5</v>
      </c>
      <c r="D7" s="70"/>
      <c r="E7" s="72">
        <v>1</v>
      </c>
      <c r="F7" s="73" t="s">
        <v>233</v>
      </c>
      <c r="G7" s="69"/>
      <c r="H7" s="69"/>
    </row>
    <row r="8" spans="1:8" ht="12.75" customHeight="1">
      <c r="A8" s="55" t="str">
        <f>'Project Team'!A8</f>
        <v>Kiesel</v>
      </c>
      <c r="B8" s="55" t="str">
        <f>'Project Team'!B8</f>
        <v>Paul</v>
      </c>
      <c r="C8" s="58">
        <v>5</v>
      </c>
      <c r="D8" s="71"/>
      <c r="E8" s="72">
        <v>2</v>
      </c>
      <c r="F8" s="73" t="s">
        <v>239</v>
      </c>
      <c r="G8" s="64"/>
      <c r="H8" s="64"/>
    </row>
    <row r="9" spans="1:8" ht="12.75" customHeight="1">
      <c r="A9" s="67" t="str">
        <f>'Project Team'!A9</f>
        <v>Ahm</v>
      </c>
      <c r="B9" s="67" t="str">
        <f>'Project Team'!B9</f>
        <v>Raihan</v>
      </c>
      <c r="C9" s="58">
        <v>5</v>
      </c>
      <c r="D9" s="70"/>
      <c r="E9" s="72">
        <v>3</v>
      </c>
      <c r="F9" s="73" t="s">
        <v>244</v>
      </c>
      <c r="G9" s="69"/>
      <c r="H9" s="69"/>
    </row>
    <row r="10" spans="1:8" ht="12.75" customHeight="1">
      <c r="A10" s="55" t="str">
        <f>'Project Team'!A10</f>
        <v>Marques</v>
      </c>
      <c r="B10" s="55" t="str">
        <f>'Project Team'!B10</f>
        <v>Rafael</v>
      </c>
      <c r="C10" s="58">
        <v>5</v>
      </c>
      <c r="D10" s="71"/>
      <c r="E10" s="72">
        <v>5</v>
      </c>
      <c r="F10" s="73" t="s">
        <v>251</v>
      </c>
      <c r="G10" s="64"/>
      <c r="H10" s="64"/>
    </row>
    <row r="11" spans="1:8" ht="12.75" customHeight="1">
      <c r="A11" s="67"/>
      <c r="B11" s="67"/>
      <c r="C11" s="58"/>
      <c r="D11" s="70"/>
      <c r="E11" s="72">
        <v>8</v>
      </c>
      <c r="F11" s="73" t="s">
        <v>254</v>
      </c>
      <c r="G11" s="69"/>
      <c r="H11" s="69"/>
    </row>
    <row r="12" spans="1:8" ht="12.75" customHeight="1">
      <c r="A12" s="55"/>
      <c r="B12" s="55"/>
      <c r="C12" s="58"/>
      <c r="D12" s="71"/>
      <c r="E12" s="72">
        <v>13</v>
      </c>
      <c r="F12" s="73" t="s">
        <v>256</v>
      </c>
      <c r="G12" s="64"/>
      <c r="H12" s="64"/>
    </row>
    <row r="13" spans="1:8" ht="12.75" customHeight="1">
      <c r="A13" s="67"/>
      <c r="B13" s="67"/>
      <c r="C13" s="70"/>
      <c r="D13" s="70"/>
      <c r="E13" s="70"/>
      <c r="F13" s="70"/>
      <c r="G13" s="69"/>
      <c r="H13" s="69"/>
    </row>
    <row r="14" spans="1:8" ht="12.75" customHeight="1">
      <c r="A14" s="75" t="s">
        <v>259</v>
      </c>
      <c r="B14" s="75"/>
      <c r="C14" s="75"/>
      <c r="D14" s="75"/>
      <c r="E14" s="75"/>
      <c r="F14" s="75"/>
      <c r="G14" s="75"/>
      <c r="H14" s="75"/>
    </row>
    <row r="15" spans="1:8" ht="12.75" customHeight="1">
      <c r="A15" s="76"/>
      <c r="B15" s="76"/>
      <c r="C15" s="76"/>
      <c r="D15" s="76"/>
      <c r="E15" s="76"/>
      <c r="F15" s="76"/>
      <c r="G15" s="76"/>
      <c r="H15" s="76"/>
    </row>
    <row r="16" spans="1:8" ht="12.75" customHeight="1">
      <c r="A16" s="77" t="s">
        <v>263</v>
      </c>
      <c r="B16" s="77"/>
      <c r="C16" s="77"/>
      <c r="D16" s="77"/>
      <c r="E16" s="77"/>
      <c r="F16" s="77"/>
      <c r="G16" s="77"/>
      <c r="H16" s="77"/>
    </row>
    <row r="17" spans="1:8" ht="12.75" customHeight="1">
      <c r="A17" s="76" t="s">
        <v>266</v>
      </c>
      <c r="B17" s="76"/>
      <c r="C17" s="76"/>
      <c r="D17" s="76"/>
      <c r="E17" s="76"/>
      <c r="F17" s="76"/>
      <c r="G17" s="76"/>
      <c r="H17" s="76"/>
    </row>
    <row r="18" spans="1:8" ht="12.75" customHeight="1">
      <c r="A18" s="77" t="s">
        <v>270</v>
      </c>
      <c r="B18" s="77"/>
      <c r="C18" s="77"/>
      <c r="D18" s="77"/>
      <c r="E18" s="77"/>
      <c r="F18" s="77"/>
      <c r="G18" s="77"/>
      <c r="H18" s="77"/>
    </row>
    <row r="19" spans="1:8" ht="12.75" customHeight="1">
      <c r="A19" s="76"/>
      <c r="B19" s="76"/>
      <c r="C19" s="76"/>
      <c r="D19" s="76"/>
      <c r="E19" s="76"/>
      <c r="F19" s="76"/>
      <c r="G19" s="76"/>
      <c r="H19" s="76"/>
    </row>
    <row r="20" spans="1:8" ht="12.75" customHeight="1">
      <c r="A20" s="77"/>
      <c r="B20" s="77"/>
      <c r="C20" s="77"/>
      <c r="D20" s="77"/>
      <c r="E20" s="77"/>
      <c r="F20" s="77"/>
      <c r="G20" s="77"/>
      <c r="H20" s="77"/>
    </row>
  </sheetData>
  <mergeCells count="2">
    <mergeCell ref="E2:E4"/>
    <mergeCell ref="F2:F4"/>
  </mergeCells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Document|&amp;C&amp;A</oddHeader>
    <oddFooter>&amp;LPage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Project Data</vt:lpstr>
      <vt:lpstr>Project Team</vt:lpstr>
      <vt:lpstr>Role Assignments</vt:lpstr>
      <vt:lpstr>Team Contract</vt:lpstr>
      <vt:lpstr>Product Goal</vt:lpstr>
      <vt:lpstr>Product Glossary</vt:lpstr>
      <vt:lpstr>Sprint Goals</vt:lpstr>
      <vt:lpstr>Velocity Tracking</vt:lpstr>
      <vt:lpstr>Mid-Project Release plan</vt:lpstr>
      <vt:lpstr>Final Project Release plan</vt:lpstr>
      <vt:lpstr>Definition of Done</vt:lpstr>
      <vt:lpstr>Documentation</vt:lpstr>
      <vt:lpstr>Bill of Materials</vt:lpstr>
      <vt:lpstr>Planning Poker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Josefina Fritz</dc:creator>
  <cp:lastModifiedBy>Fritz, Josefina</cp:lastModifiedBy>
  <cp:lastPrinted>2026-10-27T20:41:31Z</cp:lastPrinted>
  <dcterms:created xsi:type="dcterms:W3CDTF">2026-10-27T20:42:24Z</dcterms:created>
  <dcterms:modified xsi:type="dcterms:W3CDTF">2026-10-27T20:42:24Z</dcterms:modified>
</cp:coreProperties>
</file>